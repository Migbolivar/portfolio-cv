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MEGAPACK +20,000 PLANTILLAS EXCEL\MEGAPACK +20,000 PLANTILLAS EXCEL\PARTE 1 - MEGAPACK PLANTILLAS EXCEL\+300 Dashboards y Reportes Excel\9. Control de Finanzas\"/>
    </mc:Choice>
  </mc:AlternateContent>
  <xr:revisionPtr revIDLastSave="0" documentId="13_ncr:1_{FC5AF1B6-45CE-48C9-8AF2-3DAC2C2C7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9" r:id="rId1"/>
    <sheet name="Hoja2" sheetId="8" r:id="rId2"/>
    <sheet name="Hoja4" sheetId="10" r:id="rId3"/>
    <sheet name="Hoja5" sheetId="11" r:id="rId4"/>
    <sheet name="Data" sheetId="6" r:id="rId5"/>
  </sheets>
  <definedNames>
    <definedName name="_xlnm._FilterDatabase" localSheetId="4" hidden="1">Data!$A$1:$F$1401</definedName>
    <definedName name="NativeTimeline_Fecha">#N/A</definedName>
    <definedName name="SegmentaciónDeDatos_Canal">#N/A</definedName>
    <definedName name="SegmentaciónDeDatos_Marca">#N/A</definedName>
    <definedName name="SegmentaciónDeDatos_País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6" l="1"/>
  <c r="H42" i="6"/>
  <c r="H48" i="6"/>
  <c r="H72" i="6"/>
  <c r="H78" i="6"/>
  <c r="H84" i="6"/>
  <c r="H108" i="6"/>
  <c r="H114" i="6"/>
  <c r="H120" i="6"/>
  <c r="H144" i="6"/>
  <c r="H150" i="6"/>
  <c r="H156" i="6"/>
  <c r="H180" i="6"/>
  <c r="H186" i="6"/>
  <c r="H192" i="6"/>
  <c r="H216" i="6"/>
  <c r="H222" i="6"/>
  <c r="H228" i="6"/>
  <c r="H252" i="6"/>
  <c r="H258" i="6"/>
  <c r="H264" i="6"/>
  <c r="H288" i="6"/>
  <c r="H294" i="6"/>
  <c r="H300" i="6"/>
  <c r="H324" i="6"/>
  <c r="H330" i="6"/>
  <c r="H336" i="6"/>
  <c r="H360" i="6"/>
  <c r="H366" i="6"/>
  <c r="H372" i="6"/>
  <c r="H396" i="6"/>
  <c r="H402" i="6"/>
  <c r="H408" i="6"/>
  <c r="H432" i="6"/>
  <c r="H438" i="6"/>
  <c r="H444" i="6"/>
  <c r="H468" i="6"/>
  <c r="H474" i="6"/>
  <c r="H480" i="6"/>
  <c r="H504" i="6"/>
  <c r="H510" i="6"/>
  <c r="H516" i="6"/>
  <c r="H540" i="6"/>
  <c r="H546" i="6"/>
  <c r="H552" i="6"/>
  <c r="H576" i="6"/>
  <c r="H582" i="6"/>
  <c r="H588" i="6"/>
  <c r="H612" i="6"/>
  <c r="H618" i="6"/>
  <c r="H624" i="6"/>
  <c r="H648" i="6"/>
  <c r="H654" i="6"/>
  <c r="H660" i="6"/>
  <c r="H684" i="6"/>
  <c r="H690" i="6"/>
  <c r="H696" i="6"/>
  <c r="H720" i="6"/>
  <c r="H726" i="6"/>
  <c r="H732" i="6"/>
  <c r="H756" i="6"/>
  <c r="H762" i="6"/>
  <c r="H768" i="6"/>
  <c r="H792" i="6"/>
  <c r="H798" i="6"/>
  <c r="H804" i="6"/>
  <c r="H828" i="6"/>
  <c r="H834" i="6"/>
  <c r="H840" i="6"/>
  <c r="H864" i="6"/>
  <c r="H870" i="6"/>
  <c r="H876" i="6"/>
  <c r="H900" i="6"/>
  <c r="H906" i="6"/>
  <c r="H912" i="6"/>
  <c r="H936" i="6"/>
  <c r="H942" i="6"/>
  <c r="H948" i="6"/>
  <c r="H972" i="6"/>
  <c r="H978" i="6"/>
  <c r="H984" i="6"/>
  <c r="H1008" i="6"/>
  <c r="H1014" i="6"/>
  <c r="H1020" i="6"/>
  <c r="H1029" i="6"/>
  <c r="H1030" i="6"/>
  <c r="H1031" i="6"/>
  <c r="H1032" i="6"/>
  <c r="H1033" i="6"/>
  <c r="H1041" i="6"/>
  <c r="H1042" i="6"/>
  <c r="H1043" i="6"/>
  <c r="H1044" i="6"/>
  <c r="H1045" i="6"/>
  <c r="H1053" i="6"/>
  <c r="H1054" i="6"/>
  <c r="H1055" i="6"/>
  <c r="H1056" i="6"/>
  <c r="H1057" i="6"/>
  <c r="H1065" i="6"/>
  <c r="H1066" i="6"/>
  <c r="H1067" i="6"/>
  <c r="H1068" i="6"/>
  <c r="H1069" i="6"/>
  <c r="H1077" i="6"/>
  <c r="H1078" i="6"/>
  <c r="H1079" i="6"/>
  <c r="H1080" i="6"/>
  <c r="H1081" i="6"/>
  <c r="H1089" i="6"/>
  <c r="H1090" i="6"/>
  <c r="H1091" i="6"/>
  <c r="H1092" i="6"/>
  <c r="H1093" i="6"/>
  <c r="H1101" i="6"/>
  <c r="H1102" i="6"/>
  <c r="H1103" i="6"/>
  <c r="H1104" i="6"/>
  <c r="H1105" i="6"/>
  <c r="H1113" i="6"/>
  <c r="H1114" i="6"/>
  <c r="H1115" i="6"/>
  <c r="H1116" i="6"/>
  <c r="H1117" i="6"/>
  <c r="H1125" i="6"/>
  <c r="H1126" i="6"/>
  <c r="H1127" i="6"/>
  <c r="H1128" i="6"/>
  <c r="H1129" i="6"/>
  <c r="H1137" i="6"/>
  <c r="H1138" i="6"/>
  <c r="H1139" i="6"/>
  <c r="H1140" i="6"/>
  <c r="H1141" i="6"/>
  <c r="H1149" i="6"/>
  <c r="H1150" i="6"/>
  <c r="H1151" i="6"/>
  <c r="H1152" i="6"/>
  <c r="H1153" i="6"/>
  <c r="H1161" i="6"/>
  <c r="H1162" i="6"/>
  <c r="H1163" i="6"/>
  <c r="H1164" i="6"/>
  <c r="H1165" i="6"/>
  <c r="H1173" i="6"/>
  <c r="H1174" i="6"/>
  <c r="H1175" i="6"/>
  <c r="H1176" i="6"/>
  <c r="H1177" i="6"/>
  <c r="H1185" i="6"/>
  <c r="H1186" i="6"/>
  <c r="H1187" i="6"/>
  <c r="H1188" i="6"/>
  <c r="H1189" i="6"/>
  <c r="H1197" i="6"/>
  <c r="H1198" i="6"/>
  <c r="H1199" i="6"/>
  <c r="H1200" i="6"/>
  <c r="H1201" i="6"/>
  <c r="H1209" i="6"/>
  <c r="H1210" i="6"/>
  <c r="H1211" i="6"/>
  <c r="H1212" i="6"/>
  <c r="H1213" i="6"/>
  <c r="H1221" i="6"/>
  <c r="H1222" i="6"/>
  <c r="H1223" i="6"/>
  <c r="H1224" i="6"/>
  <c r="H1225" i="6"/>
  <c r="H1233" i="6"/>
  <c r="H1234" i="6"/>
  <c r="H1235" i="6"/>
  <c r="H1236" i="6"/>
  <c r="H1237" i="6"/>
  <c r="H1245" i="6"/>
  <c r="H1246" i="6"/>
  <c r="H1247" i="6"/>
  <c r="H1248" i="6"/>
  <c r="H1249" i="6"/>
  <c r="H1257" i="6"/>
  <c r="H1258" i="6"/>
  <c r="H1259" i="6"/>
  <c r="H1260" i="6"/>
  <c r="H1261" i="6"/>
  <c r="H1269" i="6"/>
  <c r="H1270" i="6"/>
  <c r="H1271" i="6"/>
  <c r="H1272" i="6"/>
  <c r="H1273" i="6"/>
  <c r="H1281" i="6"/>
  <c r="H1282" i="6"/>
  <c r="H1283" i="6"/>
  <c r="H1284" i="6"/>
  <c r="H1285" i="6"/>
  <c r="H1293" i="6"/>
  <c r="H1294" i="6"/>
  <c r="H1295" i="6"/>
  <c r="H1296" i="6"/>
  <c r="H1297" i="6"/>
  <c r="H1305" i="6"/>
  <c r="H1306" i="6"/>
  <c r="H1307" i="6"/>
  <c r="H1308" i="6"/>
  <c r="H1309" i="6"/>
  <c r="H1317" i="6"/>
  <c r="H1318" i="6"/>
  <c r="H1319" i="6"/>
  <c r="H1320" i="6"/>
  <c r="H1321" i="6"/>
  <c r="H1329" i="6"/>
  <c r="H1330" i="6"/>
  <c r="H1331" i="6"/>
  <c r="H1332" i="6"/>
  <c r="H1333" i="6"/>
  <c r="H1341" i="6"/>
  <c r="H1342" i="6"/>
  <c r="H1343" i="6"/>
  <c r="H1344" i="6"/>
  <c r="H1345" i="6"/>
  <c r="H1353" i="6"/>
  <c r="H1354" i="6"/>
  <c r="H1355" i="6"/>
  <c r="H1356" i="6"/>
  <c r="H1357" i="6"/>
  <c r="H1365" i="6"/>
  <c r="H1366" i="6"/>
  <c r="H1367" i="6"/>
  <c r="H1368" i="6"/>
  <c r="H1369" i="6"/>
  <c r="H1377" i="6"/>
  <c r="H1378" i="6"/>
  <c r="H1379" i="6"/>
  <c r="H1380" i="6"/>
  <c r="H1381" i="6"/>
  <c r="H1389" i="6"/>
  <c r="H1390" i="6"/>
  <c r="H1391" i="6"/>
  <c r="H1392" i="6"/>
  <c r="H1393" i="6"/>
  <c r="H1401" i="6"/>
  <c r="G2" i="6"/>
  <c r="H2" i="6" s="1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G37" i="6"/>
  <c r="H37" i="6" s="1"/>
  <c r="G38" i="6"/>
  <c r="H38" i="6" s="1"/>
  <c r="G39" i="6"/>
  <c r="H39" i="6" s="1"/>
  <c r="G40" i="6"/>
  <c r="H40" i="6" s="1"/>
  <c r="G41" i="6"/>
  <c r="H41" i="6" s="1"/>
  <c r="G42" i="6"/>
  <c r="G43" i="6"/>
  <c r="H43" i="6" s="1"/>
  <c r="G44" i="6"/>
  <c r="H44" i="6" s="1"/>
  <c r="G45" i="6"/>
  <c r="H45" i="6" s="1"/>
  <c r="G46" i="6"/>
  <c r="H46" i="6" s="1"/>
  <c r="G47" i="6"/>
  <c r="H47" i="6" s="1"/>
  <c r="G48" i="6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G73" i="6"/>
  <c r="H73" i="6" s="1"/>
  <c r="G74" i="6"/>
  <c r="H74" i="6" s="1"/>
  <c r="G75" i="6"/>
  <c r="H75" i="6" s="1"/>
  <c r="G76" i="6"/>
  <c r="H76" i="6" s="1"/>
  <c r="G77" i="6"/>
  <c r="H77" i="6" s="1"/>
  <c r="G78" i="6"/>
  <c r="G79" i="6"/>
  <c r="H79" i="6" s="1"/>
  <c r="G80" i="6"/>
  <c r="H80" i="6" s="1"/>
  <c r="G81" i="6"/>
  <c r="H81" i="6" s="1"/>
  <c r="G82" i="6"/>
  <c r="H82" i="6" s="1"/>
  <c r="G83" i="6"/>
  <c r="H83" i="6" s="1"/>
  <c r="G84" i="6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H166" i="6" s="1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G181" i="6"/>
  <c r="H181" i="6" s="1"/>
  <c r="G182" i="6"/>
  <c r="H182" i="6" s="1"/>
  <c r="G183" i="6"/>
  <c r="H183" i="6" s="1"/>
  <c r="G184" i="6"/>
  <c r="H184" i="6" s="1"/>
  <c r="G185" i="6"/>
  <c r="H185" i="6" s="1"/>
  <c r="G186" i="6"/>
  <c r="G187" i="6"/>
  <c r="H187" i="6" s="1"/>
  <c r="G188" i="6"/>
  <c r="H188" i="6" s="1"/>
  <c r="G189" i="6"/>
  <c r="H189" i="6" s="1"/>
  <c r="G190" i="6"/>
  <c r="H190" i="6" s="1"/>
  <c r="G191" i="6"/>
  <c r="H191" i="6" s="1"/>
  <c r="G192" i="6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 s="1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15" i="6"/>
  <c r="H215" i="6" s="1"/>
  <c r="G216" i="6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G223" i="6"/>
  <c r="H223" i="6" s="1"/>
  <c r="G224" i="6"/>
  <c r="H224" i="6" s="1"/>
  <c r="G225" i="6"/>
  <c r="H225" i="6" s="1"/>
  <c r="G226" i="6"/>
  <c r="H226" i="6" s="1"/>
  <c r="G227" i="6"/>
  <c r="H227" i="6" s="1"/>
  <c r="G228" i="6"/>
  <c r="G229" i="6"/>
  <c r="H229" i="6" s="1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 s="1"/>
  <c r="G237" i="6"/>
  <c r="H237" i="6" s="1"/>
  <c r="G238" i="6"/>
  <c r="H238" i="6" s="1"/>
  <c r="G239" i="6"/>
  <c r="H239" i="6" s="1"/>
  <c r="G240" i="6"/>
  <c r="H240" i="6" s="1"/>
  <c r="G241" i="6"/>
  <c r="H241" i="6" s="1"/>
  <c r="G242" i="6"/>
  <c r="H242" i="6" s="1"/>
  <c r="G243" i="6"/>
  <c r="H243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G253" i="6"/>
  <c r="H253" i="6" s="1"/>
  <c r="G254" i="6"/>
  <c r="H254" i="6" s="1"/>
  <c r="G255" i="6"/>
  <c r="H255" i="6" s="1"/>
  <c r="G256" i="6"/>
  <c r="H256" i="6" s="1"/>
  <c r="G257" i="6"/>
  <c r="H257" i="6" s="1"/>
  <c r="G258" i="6"/>
  <c r="G259" i="6"/>
  <c r="H259" i="6" s="1"/>
  <c r="G260" i="6"/>
  <c r="H260" i="6" s="1"/>
  <c r="G261" i="6"/>
  <c r="H261" i="6" s="1"/>
  <c r="G262" i="6"/>
  <c r="H262" i="6" s="1"/>
  <c r="G263" i="6"/>
  <c r="H263" i="6" s="1"/>
  <c r="G264" i="6"/>
  <c r="G265" i="6"/>
  <c r="H265" i="6" s="1"/>
  <c r="G266" i="6"/>
  <c r="H266" i="6" s="1"/>
  <c r="G267" i="6"/>
  <c r="H267" i="6" s="1"/>
  <c r="G268" i="6"/>
  <c r="H268" i="6" s="1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H274" i="6" s="1"/>
  <c r="G275" i="6"/>
  <c r="H275" i="6" s="1"/>
  <c r="G276" i="6"/>
  <c r="H276" i="6" s="1"/>
  <c r="G277" i="6"/>
  <c r="H277" i="6" s="1"/>
  <c r="G278" i="6"/>
  <c r="H278" i="6" s="1"/>
  <c r="G279" i="6"/>
  <c r="H279" i="6" s="1"/>
  <c r="G280" i="6"/>
  <c r="H280" i="6" s="1"/>
  <c r="G281" i="6"/>
  <c r="H281" i="6" s="1"/>
  <c r="G282" i="6"/>
  <c r="H282" i="6" s="1"/>
  <c r="G283" i="6"/>
  <c r="H283" i="6" s="1"/>
  <c r="G284" i="6"/>
  <c r="H284" i="6" s="1"/>
  <c r="G285" i="6"/>
  <c r="H285" i="6" s="1"/>
  <c r="G286" i="6"/>
  <c r="H286" i="6" s="1"/>
  <c r="G287" i="6"/>
  <c r="H287" i="6" s="1"/>
  <c r="G288" i="6"/>
  <c r="G289" i="6"/>
  <c r="H289" i="6" s="1"/>
  <c r="G290" i="6"/>
  <c r="H290" i="6" s="1"/>
  <c r="G291" i="6"/>
  <c r="H291" i="6" s="1"/>
  <c r="G292" i="6"/>
  <c r="H292" i="6" s="1"/>
  <c r="G293" i="6"/>
  <c r="H293" i="6" s="1"/>
  <c r="G294" i="6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G301" i="6"/>
  <c r="H301" i="6" s="1"/>
  <c r="G302" i="6"/>
  <c r="H302" i="6" s="1"/>
  <c r="G303" i="6"/>
  <c r="H303" i="6" s="1"/>
  <c r="G304" i="6"/>
  <c r="H304" i="6" s="1"/>
  <c r="G305" i="6"/>
  <c r="H305" i="6" s="1"/>
  <c r="G306" i="6"/>
  <c r="H306" i="6" s="1"/>
  <c r="G307" i="6"/>
  <c r="H307" i="6" s="1"/>
  <c r="G308" i="6"/>
  <c r="H308" i="6" s="1"/>
  <c r="G309" i="6"/>
  <c r="H309" i="6" s="1"/>
  <c r="G310" i="6"/>
  <c r="H310" i="6" s="1"/>
  <c r="G311" i="6"/>
  <c r="H311" i="6" s="1"/>
  <c r="G312" i="6"/>
  <c r="H312" i="6" s="1"/>
  <c r="G313" i="6"/>
  <c r="H313" i="6" s="1"/>
  <c r="G314" i="6"/>
  <c r="H314" i="6" s="1"/>
  <c r="G315" i="6"/>
  <c r="H315" i="6" s="1"/>
  <c r="G316" i="6"/>
  <c r="H316" i="6" s="1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 s="1"/>
  <c r="G324" i="6"/>
  <c r="G325" i="6"/>
  <c r="H325" i="6" s="1"/>
  <c r="G326" i="6"/>
  <c r="H326" i="6" s="1"/>
  <c r="G327" i="6"/>
  <c r="H327" i="6" s="1"/>
  <c r="G328" i="6"/>
  <c r="H328" i="6" s="1"/>
  <c r="G329" i="6"/>
  <c r="H329" i="6" s="1"/>
  <c r="G330" i="6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G337" i="6"/>
  <c r="H337" i="6" s="1"/>
  <c r="G338" i="6"/>
  <c r="H338" i="6" s="1"/>
  <c r="G339" i="6"/>
  <c r="H339" i="6" s="1"/>
  <c r="G340" i="6"/>
  <c r="H340" i="6" s="1"/>
  <c r="G341" i="6"/>
  <c r="H341" i="6" s="1"/>
  <c r="G342" i="6"/>
  <c r="H342" i="6" s="1"/>
  <c r="G343" i="6"/>
  <c r="H343" i="6" s="1"/>
  <c r="G344" i="6"/>
  <c r="H344" i="6" s="1"/>
  <c r="G345" i="6"/>
  <c r="H345" i="6" s="1"/>
  <c r="G346" i="6"/>
  <c r="H346" i="6" s="1"/>
  <c r="G347" i="6"/>
  <c r="H347" i="6" s="1"/>
  <c r="G348" i="6"/>
  <c r="H348" i="6" s="1"/>
  <c r="G349" i="6"/>
  <c r="H349" i="6" s="1"/>
  <c r="G350" i="6"/>
  <c r="H350" i="6" s="1"/>
  <c r="G351" i="6"/>
  <c r="H351" i="6" s="1"/>
  <c r="G352" i="6"/>
  <c r="H352" i="6" s="1"/>
  <c r="G353" i="6"/>
  <c r="H353" i="6" s="1"/>
  <c r="G354" i="6"/>
  <c r="H354" i="6" s="1"/>
  <c r="G355" i="6"/>
  <c r="H355" i="6" s="1"/>
  <c r="G356" i="6"/>
  <c r="H356" i="6" s="1"/>
  <c r="G357" i="6"/>
  <c r="H357" i="6" s="1"/>
  <c r="G358" i="6"/>
  <c r="H358" i="6" s="1"/>
  <c r="G359" i="6"/>
  <c r="H359" i="6" s="1"/>
  <c r="G360" i="6"/>
  <c r="G361" i="6"/>
  <c r="H361" i="6" s="1"/>
  <c r="G362" i="6"/>
  <c r="H362" i="6" s="1"/>
  <c r="G363" i="6"/>
  <c r="H363" i="6" s="1"/>
  <c r="G364" i="6"/>
  <c r="H364" i="6" s="1"/>
  <c r="G365" i="6"/>
  <c r="H365" i="6" s="1"/>
  <c r="G366" i="6"/>
  <c r="G367" i="6"/>
  <c r="H367" i="6" s="1"/>
  <c r="G368" i="6"/>
  <c r="H368" i="6" s="1"/>
  <c r="G369" i="6"/>
  <c r="H369" i="6" s="1"/>
  <c r="G370" i="6"/>
  <c r="H370" i="6" s="1"/>
  <c r="G371" i="6"/>
  <c r="H371" i="6" s="1"/>
  <c r="G372" i="6"/>
  <c r="G373" i="6"/>
  <c r="H373" i="6" s="1"/>
  <c r="G374" i="6"/>
  <c r="H374" i="6" s="1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H383" i="6" s="1"/>
  <c r="G384" i="6"/>
  <c r="H384" i="6" s="1"/>
  <c r="G385" i="6"/>
  <c r="H385" i="6" s="1"/>
  <c r="G386" i="6"/>
  <c r="H386" i="6" s="1"/>
  <c r="G387" i="6"/>
  <c r="H387" i="6" s="1"/>
  <c r="G388" i="6"/>
  <c r="H388" i="6" s="1"/>
  <c r="G389" i="6"/>
  <c r="H389" i="6" s="1"/>
  <c r="G390" i="6"/>
  <c r="H390" i="6" s="1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G403" i="6"/>
  <c r="H403" i="6" s="1"/>
  <c r="G404" i="6"/>
  <c r="H404" i="6" s="1"/>
  <c r="G405" i="6"/>
  <c r="H405" i="6" s="1"/>
  <c r="G406" i="6"/>
  <c r="H406" i="6" s="1"/>
  <c r="G407" i="6"/>
  <c r="H407" i="6" s="1"/>
  <c r="G408" i="6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H416" i="6" s="1"/>
  <c r="G417" i="6"/>
  <c r="H417" i="6" s="1"/>
  <c r="G418" i="6"/>
  <c r="H418" i="6" s="1"/>
  <c r="G419" i="6"/>
  <c r="H419" i="6" s="1"/>
  <c r="G420" i="6"/>
  <c r="H420" i="6" s="1"/>
  <c r="G421" i="6"/>
  <c r="H421" i="6" s="1"/>
  <c r="G422" i="6"/>
  <c r="H422" i="6" s="1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H431" i="6" s="1"/>
  <c r="G432" i="6"/>
  <c r="G433" i="6"/>
  <c r="H433" i="6" s="1"/>
  <c r="G434" i="6"/>
  <c r="H434" i="6" s="1"/>
  <c r="G435" i="6"/>
  <c r="H435" i="6" s="1"/>
  <c r="G436" i="6"/>
  <c r="H436" i="6" s="1"/>
  <c r="G437" i="6"/>
  <c r="H437" i="6" s="1"/>
  <c r="G438" i="6"/>
  <c r="G439" i="6"/>
  <c r="H439" i="6" s="1"/>
  <c r="G440" i="6"/>
  <c r="H440" i="6" s="1"/>
  <c r="G441" i="6"/>
  <c r="H441" i="6" s="1"/>
  <c r="G442" i="6"/>
  <c r="H442" i="6" s="1"/>
  <c r="G443" i="6"/>
  <c r="H443" i="6" s="1"/>
  <c r="G444" i="6"/>
  <c r="G445" i="6"/>
  <c r="H445" i="6" s="1"/>
  <c r="G446" i="6"/>
  <c r="H446" i="6" s="1"/>
  <c r="G447" i="6"/>
  <c r="H447" i="6" s="1"/>
  <c r="G448" i="6"/>
  <c r="H448" i="6" s="1"/>
  <c r="G449" i="6"/>
  <c r="H449" i="6" s="1"/>
  <c r="G450" i="6"/>
  <c r="H450" i="6" s="1"/>
  <c r="G451" i="6"/>
  <c r="H451" i="6" s="1"/>
  <c r="G452" i="6"/>
  <c r="H452" i="6" s="1"/>
  <c r="G453" i="6"/>
  <c r="H453" i="6" s="1"/>
  <c r="G454" i="6"/>
  <c r="H454" i="6" s="1"/>
  <c r="G455" i="6"/>
  <c r="H455" i="6" s="1"/>
  <c r="G456" i="6"/>
  <c r="H456" i="6" s="1"/>
  <c r="G457" i="6"/>
  <c r="H457" i="6" s="1"/>
  <c r="G458" i="6"/>
  <c r="H458" i="6" s="1"/>
  <c r="G459" i="6"/>
  <c r="H459" i="6" s="1"/>
  <c r="G460" i="6"/>
  <c r="H460" i="6" s="1"/>
  <c r="G461" i="6"/>
  <c r="H461" i="6" s="1"/>
  <c r="G462" i="6"/>
  <c r="H462" i="6" s="1"/>
  <c r="G463" i="6"/>
  <c r="H463" i="6" s="1"/>
  <c r="G464" i="6"/>
  <c r="H464" i="6" s="1"/>
  <c r="G465" i="6"/>
  <c r="H465" i="6" s="1"/>
  <c r="G466" i="6"/>
  <c r="H466" i="6" s="1"/>
  <c r="G467" i="6"/>
  <c r="H467" i="6" s="1"/>
  <c r="G468" i="6"/>
  <c r="G469" i="6"/>
  <c r="H469" i="6" s="1"/>
  <c r="G470" i="6"/>
  <c r="H470" i="6" s="1"/>
  <c r="G471" i="6"/>
  <c r="H471" i="6" s="1"/>
  <c r="G472" i="6"/>
  <c r="H472" i="6" s="1"/>
  <c r="G473" i="6"/>
  <c r="H473" i="6" s="1"/>
  <c r="G474" i="6"/>
  <c r="G475" i="6"/>
  <c r="H475" i="6" s="1"/>
  <c r="G476" i="6"/>
  <c r="H476" i="6" s="1"/>
  <c r="G477" i="6"/>
  <c r="H477" i="6" s="1"/>
  <c r="G478" i="6"/>
  <c r="H478" i="6" s="1"/>
  <c r="G479" i="6"/>
  <c r="H479" i="6" s="1"/>
  <c r="G480" i="6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H486" i="6" s="1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 s="1"/>
  <c r="G494" i="6"/>
  <c r="H494" i="6" s="1"/>
  <c r="G495" i="6"/>
  <c r="H495" i="6" s="1"/>
  <c r="G496" i="6"/>
  <c r="H496" i="6" s="1"/>
  <c r="G497" i="6"/>
  <c r="H497" i="6" s="1"/>
  <c r="G498" i="6"/>
  <c r="H498" i="6" s="1"/>
  <c r="G499" i="6"/>
  <c r="H499" i="6" s="1"/>
  <c r="G500" i="6"/>
  <c r="H500" i="6" s="1"/>
  <c r="G501" i="6"/>
  <c r="H501" i="6" s="1"/>
  <c r="G502" i="6"/>
  <c r="H502" i="6" s="1"/>
  <c r="G503" i="6"/>
  <c r="H503" i="6" s="1"/>
  <c r="G504" i="6"/>
  <c r="G505" i="6"/>
  <c r="H505" i="6" s="1"/>
  <c r="G506" i="6"/>
  <c r="H506" i="6" s="1"/>
  <c r="G507" i="6"/>
  <c r="H507" i="6" s="1"/>
  <c r="G508" i="6"/>
  <c r="H508" i="6" s="1"/>
  <c r="G509" i="6"/>
  <c r="H509" i="6" s="1"/>
  <c r="G510" i="6"/>
  <c r="G511" i="6"/>
  <c r="H511" i="6" s="1"/>
  <c r="G512" i="6"/>
  <c r="H512" i="6" s="1"/>
  <c r="G513" i="6"/>
  <c r="H513" i="6" s="1"/>
  <c r="G514" i="6"/>
  <c r="H514" i="6" s="1"/>
  <c r="G515" i="6"/>
  <c r="H515" i="6" s="1"/>
  <c r="G516" i="6"/>
  <c r="G517" i="6"/>
  <c r="H517" i="6" s="1"/>
  <c r="G518" i="6"/>
  <c r="H518" i="6" s="1"/>
  <c r="G519" i="6"/>
  <c r="H519" i="6" s="1"/>
  <c r="G520" i="6"/>
  <c r="H520" i="6" s="1"/>
  <c r="G521" i="6"/>
  <c r="H521" i="6" s="1"/>
  <c r="G522" i="6"/>
  <c r="H522" i="6" s="1"/>
  <c r="G523" i="6"/>
  <c r="H523" i="6" s="1"/>
  <c r="G524" i="6"/>
  <c r="H524" i="6" s="1"/>
  <c r="G525" i="6"/>
  <c r="H525" i="6" s="1"/>
  <c r="G526" i="6"/>
  <c r="H526" i="6" s="1"/>
  <c r="G527" i="6"/>
  <c r="H527" i="6" s="1"/>
  <c r="G528" i="6"/>
  <c r="H528" i="6" s="1"/>
  <c r="G529" i="6"/>
  <c r="H529" i="6" s="1"/>
  <c r="G530" i="6"/>
  <c r="H530" i="6" s="1"/>
  <c r="G531" i="6"/>
  <c r="H531" i="6" s="1"/>
  <c r="G532" i="6"/>
  <c r="H532" i="6" s="1"/>
  <c r="G533" i="6"/>
  <c r="H533" i="6" s="1"/>
  <c r="G534" i="6"/>
  <c r="H534" i="6" s="1"/>
  <c r="G535" i="6"/>
  <c r="H535" i="6" s="1"/>
  <c r="G536" i="6"/>
  <c r="H536" i="6" s="1"/>
  <c r="G537" i="6"/>
  <c r="H537" i="6" s="1"/>
  <c r="G538" i="6"/>
  <c r="H538" i="6" s="1"/>
  <c r="G539" i="6"/>
  <c r="H539" i="6" s="1"/>
  <c r="G540" i="6"/>
  <c r="G541" i="6"/>
  <c r="H541" i="6" s="1"/>
  <c r="G542" i="6"/>
  <c r="H542" i="6" s="1"/>
  <c r="G543" i="6"/>
  <c r="H543" i="6" s="1"/>
  <c r="G544" i="6"/>
  <c r="H544" i="6" s="1"/>
  <c r="G545" i="6"/>
  <c r="H545" i="6" s="1"/>
  <c r="G546" i="6"/>
  <c r="G547" i="6"/>
  <c r="H547" i="6" s="1"/>
  <c r="G548" i="6"/>
  <c r="H548" i="6" s="1"/>
  <c r="G549" i="6"/>
  <c r="H549" i="6" s="1"/>
  <c r="G550" i="6"/>
  <c r="H550" i="6" s="1"/>
  <c r="G551" i="6"/>
  <c r="H551" i="6" s="1"/>
  <c r="G552" i="6"/>
  <c r="G553" i="6"/>
  <c r="H553" i="6" s="1"/>
  <c r="G554" i="6"/>
  <c r="H554" i="6" s="1"/>
  <c r="G555" i="6"/>
  <c r="H555" i="6" s="1"/>
  <c r="G556" i="6"/>
  <c r="H556" i="6" s="1"/>
  <c r="G557" i="6"/>
  <c r="H557" i="6" s="1"/>
  <c r="G558" i="6"/>
  <c r="H558" i="6" s="1"/>
  <c r="G559" i="6"/>
  <c r="H559" i="6" s="1"/>
  <c r="G560" i="6"/>
  <c r="H560" i="6" s="1"/>
  <c r="G561" i="6"/>
  <c r="H561" i="6" s="1"/>
  <c r="G562" i="6"/>
  <c r="H562" i="6" s="1"/>
  <c r="G563" i="6"/>
  <c r="H563" i="6" s="1"/>
  <c r="G564" i="6"/>
  <c r="H564" i="6" s="1"/>
  <c r="G565" i="6"/>
  <c r="H565" i="6" s="1"/>
  <c r="G566" i="6"/>
  <c r="H566" i="6" s="1"/>
  <c r="G567" i="6"/>
  <c r="H567" i="6" s="1"/>
  <c r="G568" i="6"/>
  <c r="H568" i="6" s="1"/>
  <c r="G569" i="6"/>
  <c r="H569" i="6" s="1"/>
  <c r="G570" i="6"/>
  <c r="H570" i="6" s="1"/>
  <c r="G571" i="6"/>
  <c r="H571" i="6" s="1"/>
  <c r="G572" i="6"/>
  <c r="H572" i="6" s="1"/>
  <c r="G573" i="6"/>
  <c r="H573" i="6" s="1"/>
  <c r="G574" i="6"/>
  <c r="H574" i="6" s="1"/>
  <c r="G575" i="6"/>
  <c r="H575" i="6" s="1"/>
  <c r="G576" i="6"/>
  <c r="G577" i="6"/>
  <c r="H577" i="6" s="1"/>
  <c r="G578" i="6"/>
  <c r="H578" i="6" s="1"/>
  <c r="G579" i="6"/>
  <c r="H579" i="6" s="1"/>
  <c r="G580" i="6"/>
  <c r="H580" i="6" s="1"/>
  <c r="G581" i="6"/>
  <c r="H581" i="6" s="1"/>
  <c r="G582" i="6"/>
  <c r="G583" i="6"/>
  <c r="H583" i="6" s="1"/>
  <c r="G584" i="6"/>
  <c r="H584" i="6" s="1"/>
  <c r="G585" i="6"/>
  <c r="H585" i="6" s="1"/>
  <c r="G586" i="6"/>
  <c r="H586" i="6" s="1"/>
  <c r="G587" i="6"/>
  <c r="H587" i="6" s="1"/>
  <c r="G588" i="6"/>
  <c r="G589" i="6"/>
  <c r="H589" i="6" s="1"/>
  <c r="G590" i="6"/>
  <c r="H590" i="6" s="1"/>
  <c r="G591" i="6"/>
  <c r="H591" i="6" s="1"/>
  <c r="G592" i="6"/>
  <c r="H592" i="6" s="1"/>
  <c r="G593" i="6"/>
  <c r="H593" i="6" s="1"/>
  <c r="G594" i="6"/>
  <c r="H594" i="6" s="1"/>
  <c r="G595" i="6"/>
  <c r="H595" i="6" s="1"/>
  <c r="G596" i="6"/>
  <c r="H596" i="6" s="1"/>
  <c r="G597" i="6"/>
  <c r="H597" i="6" s="1"/>
  <c r="G598" i="6"/>
  <c r="H598" i="6" s="1"/>
  <c r="G599" i="6"/>
  <c r="H599" i="6" s="1"/>
  <c r="G600" i="6"/>
  <c r="H600" i="6" s="1"/>
  <c r="G601" i="6"/>
  <c r="H601" i="6" s="1"/>
  <c r="G602" i="6"/>
  <c r="H602" i="6" s="1"/>
  <c r="G603" i="6"/>
  <c r="H603" i="6" s="1"/>
  <c r="G604" i="6"/>
  <c r="H604" i="6" s="1"/>
  <c r="G605" i="6"/>
  <c r="H605" i="6" s="1"/>
  <c r="G606" i="6"/>
  <c r="H606" i="6" s="1"/>
  <c r="G607" i="6"/>
  <c r="H607" i="6" s="1"/>
  <c r="G608" i="6"/>
  <c r="H608" i="6" s="1"/>
  <c r="G609" i="6"/>
  <c r="H609" i="6" s="1"/>
  <c r="G610" i="6"/>
  <c r="H610" i="6" s="1"/>
  <c r="G611" i="6"/>
  <c r="H611" i="6" s="1"/>
  <c r="G612" i="6"/>
  <c r="G613" i="6"/>
  <c r="H613" i="6" s="1"/>
  <c r="G614" i="6"/>
  <c r="H614" i="6" s="1"/>
  <c r="G615" i="6"/>
  <c r="H615" i="6" s="1"/>
  <c r="G616" i="6"/>
  <c r="H616" i="6" s="1"/>
  <c r="G617" i="6"/>
  <c r="H617" i="6" s="1"/>
  <c r="G618" i="6"/>
  <c r="G619" i="6"/>
  <c r="H619" i="6" s="1"/>
  <c r="G620" i="6"/>
  <c r="H620" i="6" s="1"/>
  <c r="G621" i="6"/>
  <c r="H621" i="6" s="1"/>
  <c r="G622" i="6"/>
  <c r="H622" i="6" s="1"/>
  <c r="G623" i="6"/>
  <c r="H623" i="6" s="1"/>
  <c r="G624" i="6"/>
  <c r="G625" i="6"/>
  <c r="H625" i="6" s="1"/>
  <c r="G626" i="6"/>
  <c r="H626" i="6" s="1"/>
  <c r="G627" i="6"/>
  <c r="H627" i="6" s="1"/>
  <c r="G628" i="6"/>
  <c r="H628" i="6" s="1"/>
  <c r="G629" i="6"/>
  <c r="H629" i="6" s="1"/>
  <c r="G630" i="6"/>
  <c r="H630" i="6" s="1"/>
  <c r="G631" i="6"/>
  <c r="H631" i="6" s="1"/>
  <c r="G632" i="6"/>
  <c r="H632" i="6" s="1"/>
  <c r="G633" i="6"/>
  <c r="H633" i="6" s="1"/>
  <c r="G634" i="6"/>
  <c r="H634" i="6" s="1"/>
  <c r="G635" i="6"/>
  <c r="H635" i="6" s="1"/>
  <c r="G636" i="6"/>
  <c r="H636" i="6" s="1"/>
  <c r="G637" i="6"/>
  <c r="H637" i="6" s="1"/>
  <c r="G638" i="6"/>
  <c r="H638" i="6" s="1"/>
  <c r="G639" i="6"/>
  <c r="H639" i="6" s="1"/>
  <c r="G640" i="6"/>
  <c r="H640" i="6" s="1"/>
  <c r="G641" i="6"/>
  <c r="H641" i="6" s="1"/>
  <c r="G642" i="6"/>
  <c r="H642" i="6" s="1"/>
  <c r="G643" i="6"/>
  <c r="H643" i="6" s="1"/>
  <c r="G644" i="6"/>
  <c r="H644" i="6" s="1"/>
  <c r="G645" i="6"/>
  <c r="H645" i="6" s="1"/>
  <c r="G646" i="6"/>
  <c r="H646" i="6" s="1"/>
  <c r="G647" i="6"/>
  <c r="H647" i="6" s="1"/>
  <c r="G648" i="6"/>
  <c r="G649" i="6"/>
  <c r="H649" i="6" s="1"/>
  <c r="G650" i="6"/>
  <c r="H650" i="6" s="1"/>
  <c r="G651" i="6"/>
  <c r="H651" i="6" s="1"/>
  <c r="G652" i="6"/>
  <c r="H652" i="6" s="1"/>
  <c r="G653" i="6"/>
  <c r="H653" i="6" s="1"/>
  <c r="G654" i="6"/>
  <c r="G655" i="6"/>
  <c r="H655" i="6" s="1"/>
  <c r="G656" i="6"/>
  <c r="H656" i="6" s="1"/>
  <c r="G657" i="6"/>
  <c r="H657" i="6" s="1"/>
  <c r="G658" i="6"/>
  <c r="H658" i="6" s="1"/>
  <c r="G659" i="6"/>
  <c r="H659" i="6" s="1"/>
  <c r="G660" i="6"/>
  <c r="G661" i="6"/>
  <c r="H661" i="6" s="1"/>
  <c r="G662" i="6"/>
  <c r="H662" i="6" s="1"/>
  <c r="G663" i="6"/>
  <c r="H663" i="6" s="1"/>
  <c r="G664" i="6"/>
  <c r="H664" i="6" s="1"/>
  <c r="G665" i="6"/>
  <c r="H665" i="6" s="1"/>
  <c r="G666" i="6"/>
  <c r="H666" i="6" s="1"/>
  <c r="G667" i="6"/>
  <c r="H667" i="6" s="1"/>
  <c r="G668" i="6"/>
  <c r="H668" i="6" s="1"/>
  <c r="G669" i="6"/>
  <c r="H669" i="6" s="1"/>
  <c r="G670" i="6"/>
  <c r="H670" i="6" s="1"/>
  <c r="G671" i="6"/>
  <c r="H671" i="6" s="1"/>
  <c r="G672" i="6"/>
  <c r="H672" i="6" s="1"/>
  <c r="G673" i="6"/>
  <c r="H673" i="6" s="1"/>
  <c r="G674" i="6"/>
  <c r="H674" i="6" s="1"/>
  <c r="G675" i="6"/>
  <c r="H675" i="6" s="1"/>
  <c r="G676" i="6"/>
  <c r="H676" i="6" s="1"/>
  <c r="G677" i="6"/>
  <c r="H677" i="6" s="1"/>
  <c r="G678" i="6"/>
  <c r="H678" i="6" s="1"/>
  <c r="G679" i="6"/>
  <c r="H679" i="6" s="1"/>
  <c r="G680" i="6"/>
  <c r="H680" i="6" s="1"/>
  <c r="G681" i="6"/>
  <c r="H681" i="6" s="1"/>
  <c r="G682" i="6"/>
  <c r="H682" i="6" s="1"/>
  <c r="G683" i="6"/>
  <c r="H683" i="6" s="1"/>
  <c r="G684" i="6"/>
  <c r="G685" i="6"/>
  <c r="H685" i="6" s="1"/>
  <c r="G686" i="6"/>
  <c r="H686" i="6" s="1"/>
  <c r="G687" i="6"/>
  <c r="H687" i="6" s="1"/>
  <c r="G688" i="6"/>
  <c r="H688" i="6" s="1"/>
  <c r="G689" i="6"/>
  <c r="H689" i="6" s="1"/>
  <c r="G690" i="6"/>
  <c r="G691" i="6"/>
  <c r="H691" i="6" s="1"/>
  <c r="G692" i="6"/>
  <c r="H692" i="6" s="1"/>
  <c r="G693" i="6"/>
  <c r="H693" i="6" s="1"/>
  <c r="G694" i="6"/>
  <c r="H694" i="6" s="1"/>
  <c r="G695" i="6"/>
  <c r="H695" i="6" s="1"/>
  <c r="G696" i="6"/>
  <c r="G697" i="6"/>
  <c r="H697" i="6" s="1"/>
  <c r="G698" i="6"/>
  <c r="H698" i="6" s="1"/>
  <c r="G699" i="6"/>
  <c r="H699" i="6" s="1"/>
  <c r="G700" i="6"/>
  <c r="H700" i="6" s="1"/>
  <c r="G701" i="6"/>
  <c r="H701" i="6" s="1"/>
  <c r="G702" i="6"/>
  <c r="H702" i="6" s="1"/>
  <c r="G703" i="6"/>
  <c r="H703" i="6" s="1"/>
  <c r="G704" i="6"/>
  <c r="H704" i="6" s="1"/>
  <c r="G705" i="6"/>
  <c r="H705" i="6" s="1"/>
  <c r="G706" i="6"/>
  <c r="H706" i="6" s="1"/>
  <c r="G707" i="6"/>
  <c r="H707" i="6" s="1"/>
  <c r="G708" i="6"/>
  <c r="H708" i="6" s="1"/>
  <c r="G709" i="6"/>
  <c r="H709" i="6" s="1"/>
  <c r="G710" i="6"/>
  <c r="H710" i="6" s="1"/>
  <c r="G711" i="6"/>
  <c r="H711" i="6" s="1"/>
  <c r="G712" i="6"/>
  <c r="H712" i="6" s="1"/>
  <c r="G713" i="6"/>
  <c r="H713" i="6" s="1"/>
  <c r="G714" i="6"/>
  <c r="H714" i="6" s="1"/>
  <c r="G715" i="6"/>
  <c r="H715" i="6" s="1"/>
  <c r="G716" i="6"/>
  <c r="H716" i="6" s="1"/>
  <c r="G717" i="6"/>
  <c r="H717" i="6" s="1"/>
  <c r="G718" i="6"/>
  <c r="H718" i="6" s="1"/>
  <c r="G719" i="6"/>
  <c r="H719" i="6" s="1"/>
  <c r="G720" i="6"/>
  <c r="G721" i="6"/>
  <c r="H721" i="6" s="1"/>
  <c r="G722" i="6"/>
  <c r="H722" i="6" s="1"/>
  <c r="G723" i="6"/>
  <c r="H723" i="6" s="1"/>
  <c r="G724" i="6"/>
  <c r="H724" i="6" s="1"/>
  <c r="G725" i="6"/>
  <c r="H725" i="6" s="1"/>
  <c r="G726" i="6"/>
  <c r="G727" i="6"/>
  <c r="H727" i="6" s="1"/>
  <c r="G728" i="6"/>
  <c r="H728" i="6" s="1"/>
  <c r="G729" i="6"/>
  <c r="H729" i="6" s="1"/>
  <c r="G730" i="6"/>
  <c r="H730" i="6" s="1"/>
  <c r="G731" i="6"/>
  <c r="H731" i="6" s="1"/>
  <c r="G732" i="6"/>
  <c r="G733" i="6"/>
  <c r="H733" i="6" s="1"/>
  <c r="G734" i="6"/>
  <c r="H734" i="6" s="1"/>
  <c r="G735" i="6"/>
  <c r="H735" i="6" s="1"/>
  <c r="G736" i="6"/>
  <c r="H736" i="6" s="1"/>
  <c r="G737" i="6"/>
  <c r="H737" i="6" s="1"/>
  <c r="G738" i="6"/>
  <c r="H738" i="6" s="1"/>
  <c r="G739" i="6"/>
  <c r="H739" i="6" s="1"/>
  <c r="G740" i="6"/>
  <c r="H740" i="6" s="1"/>
  <c r="G741" i="6"/>
  <c r="H741" i="6" s="1"/>
  <c r="G742" i="6"/>
  <c r="H742" i="6" s="1"/>
  <c r="G743" i="6"/>
  <c r="H743" i="6" s="1"/>
  <c r="G744" i="6"/>
  <c r="H744" i="6" s="1"/>
  <c r="G745" i="6"/>
  <c r="H745" i="6" s="1"/>
  <c r="G746" i="6"/>
  <c r="H746" i="6" s="1"/>
  <c r="G747" i="6"/>
  <c r="H747" i="6" s="1"/>
  <c r="G748" i="6"/>
  <c r="H748" i="6" s="1"/>
  <c r="G749" i="6"/>
  <c r="H749" i="6" s="1"/>
  <c r="G750" i="6"/>
  <c r="H750" i="6" s="1"/>
  <c r="G751" i="6"/>
  <c r="H751" i="6" s="1"/>
  <c r="G752" i="6"/>
  <c r="H752" i="6" s="1"/>
  <c r="G753" i="6"/>
  <c r="H753" i="6" s="1"/>
  <c r="G754" i="6"/>
  <c r="H754" i="6" s="1"/>
  <c r="G755" i="6"/>
  <c r="H755" i="6" s="1"/>
  <c r="G756" i="6"/>
  <c r="G757" i="6"/>
  <c r="H757" i="6" s="1"/>
  <c r="G758" i="6"/>
  <c r="H758" i="6" s="1"/>
  <c r="G759" i="6"/>
  <c r="H759" i="6" s="1"/>
  <c r="G760" i="6"/>
  <c r="H760" i="6" s="1"/>
  <c r="G761" i="6"/>
  <c r="H761" i="6" s="1"/>
  <c r="G762" i="6"/>
  <c r="G763" i="6"/>
  <c r="H763" i="6" s="1"/>
  <c r="G764" i="6"/>
  <c r="H764" i="6" s="1"/>
  <c r="G765" i="6"/>
  <c r="H765" i="6" s="1"/>
  <c r="G766" i="6"/>
  <c r="H766" i="6" s="1"/>
  <c r="G767" i="6"/>
  <c r="H767" i="6" s="1"/>
  <c r="G768" i="6"/>
  <c r="G769" i="6"/>
  <c r="H769" i="6" s="1"/>
  <c r="G770" i="6"/>
  <c r="H770" i="6" s="1"/>
  <c r="G771" i="6"/>
  <c r="H771" i="6" s="1"/>
  <c r="G772" i="6"/>
  <c r="H772" i="6" s="1"/>
  <c r="G773" i="6"/>
  <c r="H773" i="6" s="1"/>
  <c r="G774" i="6"/>
  <c r="H774" i="6" s="1"/>
  <c r="G775" i="6"/>
  <c r="H775" i="6" s="1"/>
  <c r="G776" i="6"/>
  <c r="H776" i="6" s="1"/>
  <c r="G777" i="6"/>
  <c r="H777" i="6" s="1"/>
  <c r="G778" i="6"/>
  <c r="H778" i="6" s="1"/>
  <c r="G779" i="6"/>
  <c r="H779" i="6" s="1"/>
  <c r="G780" i="6"/>
  <c r="H780" i="6" s="1"/>
  <c r="G781" i="6"/>
  <c r="H781" i="6" s="1"/>
  <c r="G782" i="6"/>
  <c r="H782" i="6" s="1"/>
  <c r="G783" i="6"/>
  <c r="H783" i="6" s="1"/>
  <c r="G784" i="6"/>
  <c r="H784" i="6" s="1"/>
  <c r="G785" i="6"/>
  <c r="H785" i="6" s="1"/>
  <c r="G786" i="6"/>
  <c r="H786" i="6" s="1"/>
  <c r="G787" i="6"/>
  <c r="H787" i="6" s="1"/>
  <c r="G788" i="6"/>
  <c r="H788" i="6" s="1"/>
  <c r="G789" i="6"/>
  <c r="H789" i="6" s="1"/>
  <c r="G790" i="6"/>
  <c r="H790" i="6" s="1"/>
  <c r="G791" i="6"/>
  <c r="H791" i="6" s="1"/>
  <c r="G792" i="6"/>
  <c r="G793" i="6"/>
  <c r="H793" i="6" s="1"/>
  <c r="G794" i="6"/>
  <c r="H794" i="6" s="1"/>
  <c r="G795" i="6"/>
  <c r="H795" i="6" s="1"/>
  <c r="G796" i="6"/>
  <c r="H796" i="6" s="1"/>
  <c r="G797" i="6"/>
  <c r="H797" i="6" s="1"/>
  <c r="G798" i="6"/>
  <c r="G799" i="6"/>
  <c r="H799" i="6" s="1"/>
  <c r="G800" i="6"/>
  <c r="H800" i="6" s="1"/>
  <c r="G801" i="6"/>
  <c r="H801" i="6" s="1"/>
  <c r="G802" i="6"/>
  <c r="H802" i="6" s="1"/>
  <c r="G803" i="6"/>
  <c r="H803" i="6" s="1"/>
  <c r="G804" i="6"/>
  <c r="G805" i="6"/>
  <c r="H805" i="6" s="1"/>
  <c r="G806" i="6"/>
  <c r="H806" i="6" s="1"/>
  <c r="G807" i="6"/>
  <c r="H807" i="6" s="1"/>
  <c r="G808" i="6"/>
  <c r="H808" i="6" s="1"/>
  <c r="G809" i="6"/>
  <c r="H809" i="6" s="1"/>
  <c r="G810" i="6"/>
  <c r="H810" i="6" s="1"/>
  <c r="G811" i="6"/>
  <c r="H811" i="6" s="1"/>
  <c r="G812" i="6"/>
  <c r="H812" i="6" s="1"/>
  <c r="G813" i="6"/>
  <c r="H813" i="6" s="1"/>
  <c r="G814" i="6"/>
  <c r="H814" i="6" s="1"/>
  <c r="G815" i="6"/>
  <c r="H815" i="6" s="1"/>
  <c r="G816" i="6"/>
  <c r="H816" i="6" s="1"/>
  <c r="G817" i="6"/>
  <c r="H817" i="6" s="1"/>
  <c r="G818" i="6"/>
  <c r="H818" i="6" s="1"/>
  <c r="G819" i="6"/>
  <c r="H819" i="6" s="1"/>
  <c r="G820" i="6"/>
  <c r="H820" i="6" s="1"/>
  <c r="G821" i="6"/>
  <c r="H821" i="6" s="1"/>
  <c r="G822" i="6"/>
  <c r="H822" i="6" s="1"/>
  <c r="G823" i="6"/>
  <c r="H823" i="6" s="1"/>
  <c r="G824" i="6"/>
  <c r="H824" i="6" s="1"/>
  <c r="G825" i="6"/>
  <c r="H825" i="6" s="1"/>
  <c r="G826" i="6"/>
  <c r="H826" i="6" s="1"/>
  <c r="G827" i="6"/>
  <c r="H827" i="6" s="1"/>
  <c r="G828" i="6"/>
  <c r="G829" i="6"/>
  <c r="H829" i="6" s="1"/>
  <c r="G830" i="6"/>
  <c r="H830" i="6" s="1"/>
  <c r="G831" i="6"/>
  <c r="H831" i="6" s="1"/>
  <c r="G832" i="6"/>
  <c r="H832" i="6" s="1"/>
  <c r="G833" i="6"/>
  <c r="H833" i="6" s="1"/>
  <c r="G834" i="6"/>
  <c r="G835" i="6"/>
  <c r="H835" i="6" s="1"/>
  <c r="G836" i="6"/>
  <c r="H836" i="6" s="1"/>
  <c r="G837" i="6"/>
  <c r="H837" i="6" s="1"/>
  <c r="G838" i="6"/>
  <c r="H838" i="6" s="1"/>
  <c r="G839" i="6"/>
  <c r="H839" i="6" s="1"/>
  <c r="G840" i="6"/>
  <c r="G841" i="6"/>
  <c r="H841" i="6" s="1"/>
  <c r="G842" i="6"/>
  <c r="H842" i="6" s="1"/>
  <c r="G843" i="6"/>
  <c r="H843" i="6" s="1"/>
  <c r="G844" i="6"/>
  <c r="H844" i="6" s="1"/>
  <c r="G845" i="6"/>
  <c r="H845" i="6" s="1"/>
  <c r="G846" i="6"/>
  <c r="H846" i="6" s="1"/>
  <c r="G847" i="6"/>
  <c r="H847" i="6" s="1"/>
  <c r="G848" i="6"/>
  <c r="H848" i="6" s="1"/>
  <c r="G849" i="6"/>
  <c r="H849" i="6" s="1"/>
  <c r="G850" i="6"/>
  <c r="H850" i="6" s="1"/>
  <c r="G851" i="6"/>
  <c r="H851" i="6" s="1"/>
  <c r="G852" i="6"/>
  <c r="H852" i="6" s="1"/>
  <c r="G853" i="6"/>
  <c r="H853" i="6" s="1"/>
  <c r="G854" i="6"/>
  <c r="H854" i="6" s="1"/>
  <c r="G855" i="6"/>
  <c r="H855" i="6" s="1"/>
  <c r="G856" i="6"/>
  <c r="H856" i="6" s="1"/>
  <c r="G857" i="6"/>
  <c r="H857" i="6" s="1"/>
  <c r="G858" i="6"/>
  <c r="H858" i="6" s="1"/>
  <c r="G859" i="6"/>
  <c r="H859" i="6" s="1"/>
  <c r="G860" i="6"/>
  <c r="H860" i="6" s="1"/>
  <c r="G861" i="6"/>
  <c r="H861" i="6" s="1"/>
  <c r="G862" i="6"/>
  <c r="H862" i="6" s="1"/>
  <c r="G863" i="6"/>
  <c r="H863" i="6" s="1"/>
  <c r="G864" i="6"/>
  <c r="G865" i="6"/>
  <c r="H865" i="6" s="1"/>
  <c r="G866" i="6"/>
  <c r="H866" i="6" s="1"/>
  <c r="G867" i="6"/>
  <c r="H867" i="6" s="1"/>
  <c r="G868" i="6"/>
  <c r="H868" i="6" s="1"/>
  <c r="G869" i="6"/>
  <c r="H869" i="6" s="1"/>
  <c r="G870" i="6"/>
  <c r="G871" i="6"/>
  <c r="H871" i="6" s="1"/>
  <c r="G872" i="6"/>
  <c r="H872" i="6" s="1"/>
  <c r="G873" i="6"/>
  <c r="H873" i="6" s="1"/>
  <c r="G874" i="6"/>
  <c r="H874" i="6" s="1"/>
  <c r="G875" i="6"/>
  <c r="H875" i="6" s="1"/>
  <c r="G876" i="6"/>
  <c r="G877" i="6"/>
  <c r="H877" i="6" s="1"/>
  <c r="G878" i="6"/>
  <c r="H878" i="6" s="1"/>
  <c r="G879" i="6"/>
  <c r="H879" i="6" s="1"/>
  <c r="G880" i="6"/>
  <c r="H880" i="6" s="1"/>
  <c r="G881" i="6"/>
  <c r="H881" i="6" s="1"/>
  <c r="G882" i="6"/>
  <c r="H882" i="6" s="1"/>
  <c r="G883" i="6"/>
  <c r="H883" i="6" s="1"/>
  <c r="G884" i="6"/>
  <c r="H884" i="6" s="1"/>
  <c r="G885" i="6"/>
  <c r="H885" i="6" s="1"/>
  <c r="G886" i="6"/>
  <c r="H886" i="6" s="1"/>
  <c r="G887" i="6"/>
  <c r="H887" i="6" s="1"/>
  <c r="G888" i="6"/>
  <c r="H888" i="6" s="1"/>
  <c r="G889" i="6"/>
  <c r="H889" i="6" s="1"/>
  <c r="G890" i="6"/>
  <c r="H890" i="6" s="1"/>
  <c r="G891" i="6"/>
  <c r="H891" i="6" s="1"/>
  <c r="G892" i="6"/>
  <c r="H892" i="6" s="1"/>
  <c r="G893" i="6"/>
  <c r="H893" i="6" s="1"/>
  <c r="G894" i="6"/>
  <c r="H894" i="6" s="1"/>
  <c r="G895" i="6"/>
  <c r="H895" i="6" s="1"/>
  <c r="G896" i="6"/>
  <c r="H896" i="6" s="1"/>
  <c r="G897" i="6"/>
  <c r="H897" i="6" s="1"/>
  <c r="G898" i="6"/>
  <c r="H898" i="6" s="1"/>
  <c r="G899" i="6"/>
  <c r="H899" i="6" s="1"/>
  <c r="G900" i="6"/>
  <c r="G901" i="6"/>
  <c r="H901" i="6" s="1"/>
  <c r="G902" i="6"/>
  <c r="H902" i="6" s="1"/>
  <c r="G903" i="6"/>
  <c r="H903" i="6" s="1"/>
  <c r="G904" i="6"/>
  <c r="H904" i="6" s="1"/>
  <c r="G905" i="6"/>
  <c r="H905" i="6" s="1"/>
  <c r="G906" i="6"/>
  <c r="G907" i="6"/>
  <c r="H907" i="6" s="1"/>
  <c r="G908" i="6"/>
  <c r="H908" i="6" s="1"/>
  <c r="G909" i="6"/>
  <c r="H909" i="6" s="1"/>
  <c r="G910" i="6"/>
  <c r="H910" i="6" s="1"/>
  <c r="G911" i="6"/>
  <c r="H911" i="6" s="1"/>
  <c r="G912" i="6"/>
  <c r="G913" i="6"/>
  <c r="H913" i="6" s="1"/>
  <c r="G914" i="6"/>
  <c r="H914" i="6" s="1"/>
  <c r="G915" i="6"/>
  <c r="H915" i="6" s="1"/>
  <c r="G916" i="6"/>
  <c r="H916" i="6" s="1"/>
  <c r="G917" i="6"/>
  <c r="H917" i="6" s="1"/>
  <c r="G918" i="6"/>
  <c r="H918" i="6" s="1"/>
  <c r="G919" i="6"/>
  <c r="H919" i="6" s="1"/>
  <c r="G920" i="6"/>
  <c r="H920" i="6" s="1"/>
  <c r="G921" i="6"/>
  <c r="H921" i="6" s="1"/>
  <c r="G922" i="6"/>
  <c r="H922" i="6" s="1"/>
  <c r="G923" i="6"/>
  <c r="H923" i="6" s="1"/>
  <c r="G924" i="6"/>
  <c r="H924" i="6" s="1"/>
  <c r="G925" i="6"/>
  <c r="H925" i="6" s="1"/>
  <c r="G926" i="6"/>
  <c r="H926" i="6" s="1"/>
  <c r="G927" i="6"/>
  <c r="H927" i="6" s="1"/>
  <c r="G928" i="6"/>
  <c r="H928" i="6" s="1"/>
  <c r="G929" i="6"/>
  <c r="H929" i="6" s="1"/>
  <c r="G930" i="6"/>
  <c r="H930" i="6" s="1"/>
  <c r="G931" i="6"/>
  <c r="H931" i="6" s="1"/>
  <c r="G932" i="6"/>
  <c r="H932" i="6" s="1"/>
  <c r="G933" i="6"/>
  <c r="H933" i="6" s="1"/>
  <c r="G934" i="6"/>
  <c r="H934" i="6" s="1"/>
  <c r="G935" i="6"/>
  <c r="H935" i="6" s="1"/>
  <c r="G936" i="6"/>
  <c r="G937" i="6"/>
  <c r="H937" i="6" s="1"/>
  <c r="G938" i="6"/>
  <c r="H938" i="6" s="1"/>
  <c r="G939" i="6"/>
  <c r="H939" i="6" s="1"/>
  <c r="G940" i="6"/>
  <c r="H940" i="6" s="1"/>
  <c r="G941" i="6"/>
  <c r="H941" i="6" s="1"/>
  <c r="G942" i="6"/>
  <c r="G943" i="6"/>
  <c r="H943" i="6" s="1"/>
  <c r="G944" i="6"/>
  <c r="H944" i="6" s="1"/>
  <c r="G945" i="6"/>
  <c r="H945" i="6" s="1"/>
  <c r="G946" i="6"/>
  <c r="H946" i="6" s="1"/>
  <c r="G947" i="6"/>
  <c r="H947" i="6" s="1"/>
  <c r="G948" i="6"/>
  <c r="G949" i="6"/>
  <c r="H949" i="6" s="1"/>
  <c r="G950" i="6"/>
  <c r="H950" i="6" s="1"/>
  <c r="G951" i="6"/>
  <c r="H951" i="6" s="1"/>
  <c r="G952" i="6"/>
  <c r="H952" i="6" s="1"/>
  <c r="G953" i="6"/>
  <c r="H953" i="6" s="1"/>
  <c r="G954" i="6"/>
  <c r="H954" i="6" s="1"/>
  <c r="G955" i="6"/>
  <c r="H955" i="6" s="1"/>
  <c r="G956" i="6"/>
  <c r="H956" i="6" s="1"/>
  <c r="G957" i="6"/>
  <c r="H957" i="6" s="1"/>
  <c r="G958" i="6"/>
  <c r="H958" i="6" s="1"/>
  <c r="G959" i="6"/>
  <c r="H959" i="6" s="1"/>
  <c r="G960" i="6"/>
  <c r="H960" i="6" s="1"/>
  <c r="G961" i="6"/>
  <c r="H961" i="6" s="1"/>
  <c r="G962" i="6"/>
  <c r="H962" i="6" s="1"/>
  <c r="G963" i="6"/>
  <c r="H963" i="6" s="1"/>
  <c r="G964" i="6"/>
  <c r="H964" i="6" s="1"/>
  <c r="G965" i="6"/>
  <c r="H965" i="6" s="1"/>
  <c r="G966" i="6"/>
  <c r="H966" i="6" s="1"/>
  <c r="G967" i="6"/>
  <c r="H967" i="6" s="1"/>
  <c r="G968" i="6"/>
  <c r="H968" i="6" s="1"/>
  <c r="G969" i="6"/>
  <c r="H969" i="6" s="1"/>
  <c r="G970" i="6"/>
  <c r="H970" i="6" s="1"/>
  <c r="G971" i="6"/>
  <c r="H971" i="6" s="1"/>
  <c r="G972" i="6"/>
  <c r="G973" i="6"/>
  <c r="H973" i="6" s="1"/>
  <c r="G974" i="6"/>
  <c r="H974" i="6" s="1"/>
  <c r="G975" i="6"/>
  <c r="H975" i="6" s="1"/>
  <c r="G976" i="6"/>
  <c r="H976" i="6" s="1"/>
  <c r="G977" i="6"/>
  <c r="H977" i="6" s="1"/>
  <c r="G978" i="6"/>
  <c r="G979" i="6"/>
  <c r="H979" i="6" s="1"/>
  <c r="G980" i="6"/>
  <c r="H980" i="6" s="1"/>
  <c r="G981" i="6"/>
  <c r="H981" i="6" s="1"/>
  <c r="G982" i="6"/>
  <c r="H982" i="6" s="1"/>
  <c r="G983" i="6"/>
  <c r="H983" i="6" s="1"/>
  <c r="G984" i="6"/>
  <c r="G985" i="6"/>
  <c r="H985" i="6" s="1"/>
  <c r="G986" i="6"/>
  <c r="H986" i="6" s="1"/>
  <c r="G987" i="6"/>
  <c r="H987" i="6" s="1"/>
  <c r="G988" i="6"/>
  <c r="H988" i="6" s="1"/>
  <c r="G989" i="6"/>
  <c r="H989" i="6" s="1"/>
  <c r="G990" i="6"/>
  <c r="H990" i="6" s="1"/>
  <c r="G991" i="6"/>
  <c r="H991" i="6" s="1"/>
  <c r="G992" i="6"/>
  <c r="H992" i="6" s="1"/>
  <c r="G993" i="6"/>
  <c r="H993" i="6" s="1"/>
  <c r="G994" i="6"/>
  <c r="H994" i="6" s="1"/>
  <c r="G995" i="6"/>
  <c r="H995" i="6" s="1"/>
  <c r="G996" i="6"/>
  <c r="H996" i="6" s="1"/>
  <c r="G997" i="6"/>
  <c r="H997" i="6" s="1"/>
  <c r="G998" i="6"/>
  <c r="H998" i="6" s="1"/>
  <c r="G999" i="6"/>
  <c r="H999" i="6" s="1"/>
  <c r="G1000" i="6"/>
  <c r="H1000" i="6" s="1"/>
  <c r="G1001" i="6"/>
  <c r="H1001" i="6" s="1"/>
  <c r="G1002" i="6"/>
  <c r="H1002" i="6" s="1"/>
  <c r="G1003" i="6"/>
  <c r="H1003" i="6" s="1"/>
  <c r="G1004" i="6"/>
  <c r="H1004" i="6" s="1"/>
  <c r="G1005" i="6"/>
  <c r="H1005" i="6" s="1"/>
  <c r="G1006" i="6"/>
  <c r="H1006" i="6" s="1"/>
  <c r="G1007" i="6"/>
  <c r="H1007" i="6" s="1"/>
  <c r="G1008" i="6"/>
  <c r="G1009" i="6"/>
  <c r="H1009" i="6" s="1"/>
  <c r="G1010" i="6"/>
  <c r="H1010" i="6" s="1"/>
  <c r="G1011" i="6"/>
  <c r="H1011" i="6" s="1"/>
  <c r="G1012" i="6"/>
  <c r="H1012" i="6" s="1"/>
  <c r="G1013" i="6"/>
  <c r="H1013" i="6" s="1"/>
  <c r="G1014" i="6"/>
  <c r="G1015" i="6"/>
  <c r="H1015" i="6" s="1"/>
  <c r="G1016" i="6"/>
  <c r="H1016" i="6" s="1"/>
  <c r="G1017" i="6"/>
  <c r="H1017" i="6" s="1"/>
  <c r="G1018" i="6"/>
  <c r="H1018" i="6" s="1"/>
  <c r="G1019" i="6"/>
  <c r="H1019" i="6" s="1"/>
  <c r="G1020" i="6"/>
  <c r="G1021" i="6"/>
  <c r="H1021" i="6" s="1"/>
  <c r="G1022" i="6"/>
  <c r="H1022" i="6" s="1"/>
  <c r="G1023" i="6"/>
  <c r="H1023" i="6" s="1"/>
  <c r="G1024" i="6"/>
  <c r="H1024" i="6" s="1"/>
  <c r="G1025" i="6"/>
  <c r="H1025" i="6" s="1"/>
  <c r="G1026" i="6"/>
  <c r="H1026" i="6" s="1"/>
  <c r="G1027" i="6"/>
  <c r="H1027" i="6" s="1"/>
  <c r="G1028" i="6"/>
  <c r="H1028" i="6" s="1"/>
  <c r="G1029" i="6"/>
  <c r="G1030" i="6"/>
  <c r="G1031" i="6"/>
  <c r="G1032" i="6"/>
  <c r="G1033" i="6"/>
  <c r="G1034" i="6"/>
  <c r="H1034" i="6" s="1"/>
  <c r="G1035" i="6"/>
  <c r="H1035" i="6" s="1"/>
  <c r="G1036" i="6"/>
  <c r="H1036" i="6" s="1"/>
  <c r="G1037" i="6"/>
  <c r="H1037" i="6" s="1"/>
  <c r="G1038" i="6"/>
  <c r="H1038" i="6" s="1"/>
  <c r="G1039" i="6"/>
  <c r="H1039" i="6" s="1"/>
  <c r="G1040" i="6"/>
  <c r="H1040" i="6" s="1"/>
  <c r="G1041" i="6"/>
  <c r="G1042" i="6"/>
  <c r="G1043" i="6"/>
  <c r="G1044" i="6"/>
  <c r="G1045" i="6"/>
  <c r="G1046" i="6"/>
  <c r="H1046" i="6" s="1"/>
  <c r="G1047" i="6"/>
  <c r="H1047" i="6" s="1"/>
  <c r="G1048" i="6"/>
  <c r="H1048" i="6" s="1"/>
  <c r="G1049" i="6"/>
  <c r="H1049" i="6" s="1"/>
  <c r="G1050" i="6"/>
  <c r="H1050" i="6" s="1"/>
  <c r="G1051" i="6"/>
  <c r="H1051" i="6" s="1"/>
  <c r="G1052" i="6"/>
  <c r="H1052" i="6" s="1"/>
  <c r="G1053" i="6"/>
  <c r="G1054" i="6"/>
  <c r="G1055" i="6"/>
  <c r="G1056" i="6"/>
  <c r="G1057" i="6"/>
  <c r="G1058" i="6"/>
  <c r="H1058" i="6" s="1"/>
  <c r="G1059" i="6"/>
  <c r="H1059" i="6" s="1"/>
  <c r="G1060" i="6"/>
  <c r="H1060" i="6" s="1"/>
  <c r="G1061" i="6"/>
  <c r="H1061" i="6" s="1"/>
  <c r="G1062" i="6"/>
  <c r="H1062" i="6" s="1"/>
  <c r="G1063" i="6"/>
  <c r="H1063" i="6" s="1"/>
  <c r="G1064" i="6"/>
  <c r="H1064" i="6" s="1"/>
  <c r="G1065" i="6"/>
  <c r="G1066" i="6"/>
  <c r="G1067" i="6"/>
  <c r="G1068" i="6"/>
  <c r="G1069" i="6"/>
  <c r="G1070" i="6"/>
  <c r="H1070" i="6" s="1"/>
  <c r="G1071" i="6"/>
  <c r="H1071" i="6" s="1"/>
  <c r="G1072" i="6"/>
  <c r="H1072" i="6" s="1"/>
  <c r="G1073" i="6"/>
  <c r="H1073" i="6" s="1"/>
  <c r="G1074" i="6"/>
  <c r="H1074" i="6" s="1"/>
  <c r="G1075" i="6"/>
  <c r="H1075" i="6" s="1"/>
  <c r="G1076" i="6"/>
  <c r="H1076" i="6" s="1"/>
  <c r="G1077" i="6"/>
  <c r="G1078" i="6"/>
  <c r="G1079" i="6"/>
  <c r="G1080" i="6"/>
  <c r="G1081" i="6"/>
  <c r="G1082" i="6"/>
  <c r="H1082" i="6" s="1"/>
  <c r="G1083" i="6"/>
  <c r="H1083" i="6" s="1"/>
  <c r="G1084" i="6"/>
  <c r="H1084" i="6" s="1"/>
  <c r="G1085" i="6"/>
  <c r="H1085" i="6" s="1"/>
  <c r="G1086" i="6"/>
  <c r="H1086" i="6" s="1"/>
  <c r="G1087" i="6"/>
  <c r="H1087" i="6" s="1"/>
  <c r="G1088" i="6"/>
  <c r="H1088" i="6" s="1"/>
  <c r="G1089" i="6"/>
  <c r="G1090" i="6"/>
  <c r="G1091" i="6"/>
  <c r="G1092" i="6"/>
  <c r="G1093" i="6"/>
  <c r="G1094" i="6"/>
  <c r="H1094" i="6" s="1"/>
  <c r="G1095" i="6"/>
  <c r="H1095" i="6" s="1"/>
  <c r="G1096" i="6"/>
  <c r="H1096" i="6" s="1"/>
  <c r="G1097" i="6"/>
  <c r="H1097" i="6" s="1"/>
  <c r="G1098" i="6"/>
  <c r="H1098" i="6" s="1"/>
  <c r="G1099" i="6"/>
  <c r="H1099" i="6" s="1"/>
  <c r="G1100" i="6"/>
  <c r="H1100" i="6" s="1"/>
  <c r="G1101" i="6"/>
  <c r="G1102" i="6"/>
  <c r="G1103" i="6"/>
  <c r="G1104" i="6"/>
  <c r="G1105" i="6"/>
  <c r="G1106" i="6"/>
  <c r="H1106" i="6" s="1"/>
  <c r="G1107" i="6"/>
  <c r="H1107" i="6" s="1"/>
  <c r="G1108" i="6"/>
  <c r="H1108" i="6" s="1"/>
  <c r="G1109" i="6"/>
  <c r="H1109" i="6" s="1"/>
  <c r="G1110" i="6"/>
  <c r="H1110" i="6" s="1"/>
  <c r="G1111" i="6"/>
  <c r="H1111" i="6" s="1"/>
  <c r="G1112" i="6"/>
  <c r="H1112" i="6" s="1"/>
  <c r="G1113" i="6"/>
  <c r="G1114" i="6"/>
  <c r="G1115" i="6"/>
  <c r="G1116" i="6"/>
  <c r="G1117" i="6"/>
  <c r="G1118" i="6"/>
  <c r="H1118" i="6" s="1"/>
  <c r="G1119" i="6"/>
  <c r="H1119" i="6" s="1"/>
  <c r="G1120" i="6"/>
  <c r="H1120" i="6" s="1"/>
  <c r="G1121" i="6"/>
  <c r="H1121" i="6" s="1"/>
  <c r="G1122" i="6"/>
  <c r="H1122" i="6" s="1"/>
  <c r="G1123" i="6"/>
  <c r="H1123" i="6" s="1"/>
  <c r="G1124" i="6"/>
  <c r="H1124" i="6" s="1"/>
  <c r="G1125" i="6"/>
  <c r="G1126" i="6"/>
  <c r="G1127" i="6"/>
  <c r="G1128" i="6"/>
  <c r="G1129" i="6"/>
  <c r="G1130" i="6"/>
  <c r="H1130" i="6" s="1"/>
  <c r="G1131" i="6"/>
  <c r="H1131" i="6" s="1"/>
  <c r="G1132" i="6"/>
  <c r="H1132" i="6" s="1"/>
  <c r="G1133" i="6"/>
  <c r="H1133" i="6" s="1"/>
  <c r="G1134" i="6"/>
  <c r="H1134" i="6" s="1"/>
  <c r="G1135" i="6"/>
  <c r="H1135" i="6" s="1"/>
  <c r="G1136" i="6"/>
  <c r="H1136" i="6" s="1"/>
  <c r="G1137" i="6"/>
  <c r="G1138" i="6"/>
  <c r="G1139" i="6"/>
  <c r="G1140" i="6"/>
  <c r="G1141" i="6"/>
  <c r="G1142" i="6"/>
  <c r="H1142" i="6" s="1"/>
  <c r="G1143" i="6"/>
  <c r="H1143" i="6" s="1"/>
  <c r="G1144" i="6"/>
  <c r="H1144" i="6" s="1"/>
  <c r="G1145" i="6"/>
  <c r="H1145" i="6" s="1"/>
  <c r="G1146" i="6"/>
  <c r="H1146" i="6" s="1"/>
  <c r="G1147" i="6"/>
  <c r="H1147" i="6" s="1"/>
  <c r="G1148" i="6"/>
  <c r="H1148" i="6" s="1"/>
  <c r="G1149" i="6"/>
  <c r="G1150" i="6"/>
  <c r="G1151" i="6"/>
  <c r="G1152" i="6"/>
  <c r="G1153" i="6"/>
  <c r="G1154" i="6"/>
  <c r="H1154" i="6" s="1"/>
  <c r="G1155" i="6"/>
  <c r="H1155" i="6" s="1"/>
  <c r="G1156" i="6"/>
  <c r="H1156" i="6" s="1"/>
  <c r="G1157" i="6"/>
  <c r="H1157" i="6" s="1"/>
  <c r="G1158" i="6"/>
  <c r="H1158" i="6" s="1"/>
  <c r="G1159" i="6"/>
  <c r="H1159" i="6" s="1"/>
  <c r="G1160" i="6"/>
  <c r="H1160" i="6" s="1"/>
  <c r="G1161" i="6"/>
  <c r="G1162" i="6"/>
  <c r="G1163" i="6"/>
  <c r="G1164" i="6"/>
  <c r="G1165" i="6"/>
  <c r="G1166" i="6"/>
  <c r="H1166" i="6" s="1"/>
  <c r="G1167" i="6"/>
  <c r="H1167" i="6" s="1"/>
  <c r="G1168" i="6"/>
  <c r="H1168" i="6" s="1"/>
  <c r="G1169" i="6"/>
  <c r="H1169" i="6" s="1"/>
  <c r="G1170" i="6"/>
  <c r="H1170" i="6" s="1"/>
  <c r="G1171" i="6"/>
  <c r="H1171" i="6" s="1"/>
  <c r="G1172" i="6"/>
  <c r="H1172" i="6" s="1"/>
  <c r="G1173" i="6"/>
  <c r="G1174" i="6"/>
  <c r="G1175" i="6"/>
  <c r="G1176" i="6"/>
  <c r="G1177" i="6"/>
  <c r="G1178" i="6"/>
  <c r="H1178" i="6" s="1"/>
  <c r="G1179" i="6"/>
  <c r="H1179" i="6" s="1"/>
  <c r="G1180" i="6"/>
  <c r="H1180" i="6" s="1"/>
  <c r="G1181" i="6"/>
  <c r="H1181" i="6" s="1"/>
  <c r="G1182" i="6"/>
  <c r="H1182" i="6" s="1"/>
  <c r="G1183" i="6"/>
  <c r="H1183" i="6" s="1"/>
  <c r="G1184" i="6"/>
  <c r="H1184" i="6" s="1"/>
  <c r="G1185" i="6"/>
  <c r="G1186" i="6"/>
  <c r="G1187" i="6"/>
  <c r="G1188" i="6"/>
  <c r="G1189" i="6"/>
  <c r="G1190" i="6"/>
  <c r="H1190" i="6" s="1"/>
  <c r="G1191" i="6"/>
  <c r="H1191" i="6" s="1"/>
  <c r="G1192" i="6"/>
  <c r="H1192" i="6" s="1"/>
  <c r="G1193" i="6"/>
  <c r="H1193" i="6" s="1"/>
  <c r="G1194" i="6"/>
  <c r="H1194" i="6" s="1"/>
  <c r="G1195" i="6"/>
  <c r="H1195" i="6" s="1"/>
  <c r="G1196" i="6"/>
  <c r="H1196" i="6" s="1"/>
  <c r="G1197" i="6"/>
  <c r="G1198" i="6"/>
  <c r="G1199" i="6"/>
  <c r="G1200" i="6"/>
  <c r="G1201" i="6"/>
  <c r="G1202" i="6"/>
  <c r="H1202" i="6" s="1"/>
  <c r="G1203" i="6"/>
  <c r="H1203" i="6" s="1"/>
  <c r="G1204" i="6"/>
  <c r="H1204" i="6" s="1"/>
  <c r="G1205" i="6"/>
  <c r="H1205" i="6" s="1"/>
  <c r="G1206" i="6"/>
  <c r="H1206" i="6" s="1"/>
  <c r="G1207" i="6"/>
  <c r="H1207" i="6" s="1"/>
  <c r="G1208" i="6"/>
  <c r="H1208" i="6" s="1"/>
  <c r="G1209" i="6"/>
  <c r="G1210" i="6"/>
  <c r="G1211" i="6"/>
  <c r="G1212" i="6"/>
  <c r="G1213" i="6"/>
  <c r="G1214" i="6"/>
  <c r="H1214" i="6" s="1"/>
  <c r="G1215" i="6"/>
  <c r="H1215" i="6" s="1"/>
  <c r="G1216" i="6"/>
  <c r="H1216" i="6" s="1"/>
  <c r="G1217" i="6"/>
  <c r="H1217" i="6" s="1"/>
  <c r="G1218" i="6"/>
  <c r="H1218" i="6" s="1"/>
  <c r="G1219" i="6"/>
  <c r="H1219" i="6" s="1"/>
  <c r="G1220" i="6"/>
  <c r="H1220" i="6" s="1"/>
  <c r="G1221" i="6"/>
  <c r="G1222" i="6"/>
  <c r="G1223" i="6"/>
  <c r="G1224" i="6"/>
  <c r="G1225" i="6"/>
  <c r="G1226" i="6"/>
  <c r="H1226" i="6" s="1"/>
  <c r="G1227" i="6"/>
  <c r="H1227" i="6" s="1"/>
  <c r="G1228" i="6"/>
  <c r="H1228" i="6" s="1"/>
  <c r="G1229" i="6"/>
  <c r="H1229" i="6" s="1"/>
  <c r="G1230" i="6"/>
  <c r="H1230" i="6" s="1"/>
  <c r="G1231" i="6"/>
  <c r="H1231" i="6" s="1"/>
  <c r="G1232" i="6"/>
  <c r="H1232" i="6" s="1"/>
  <c r="G1233" i="6"/>
  <c r="G1234" i="6"/>
  <c r="G1235" i="6"/>
  <c r="G1236" i="6"/>
  <c r="G1237" i="6"/>
  <c r="G1238" i="6"/>
  <c r="H1238" i="6" s="1"/>
  <c r="G1239" i="6"/>
  <c r="H1239" i="6" s="1"/>
  <c r="G1240" i="6"/>
  <c r="H1240" i="6" s="1"/>
  <c r="G1241" i="6"/>
  <c r="H1241" i="6" s="1"/>
  <c r="G1242" i="6"/>
  <c r="H1242" i="6" s="1"/>
  <c r="G1243" i="6"/>
  <c r="H1243" i="6" s="1"/>
  <c r="G1244" i="6"/>
  <c r="H1244" i="6" s="1"/>
  <c r="G1245" i="6"/>
  <c r="G1246" i="6"/>
  <c r="G1247" i="6"/>
  <c r="G1248" i="6"/>
  <c r="G1249" i="6"/>
  <c r="G1250" i="6"/>
  <c r="H1250" i="6" s="1"/>
  <c r="G1251" i="6"/>
  <c r="H1251" i="6" s="1"/>
  <c r="G1252" i="6"/>
  <c r="H1252" i="6" s="1"/>
  <c r="G1253" i="6"/>
  <c r="H1253" i="6" s="1"/>
  <c r="G1254" i="6"/>
  <c r="H1254" i="6" s="1"/>
  <c r="G1255" i="6"/>
  <c r="H1255" i="6" s="1"/>
  <c r="G1256" i="6"/>
  <c r="H1256" i="6" s="1"/>
  <c r="G1257" i="6"/>
  <c r="G1258" i="6"/>
  <c r="G1259" i="6"/>
  <c r="G1260" i="6"/>
  <c r="G1261" i="6"/>
  <c r="G1262" i="6"/>
  <c r="H1262" i="6" s="1"/>
  <c r="G1263" i="6"/>
  <c r="H1263" i="6" s="1"/>
  <c r="G1264" i="6"/>
  <c r="H1264" i="6" s="1"/>
  <c r="G1265" i="6"/>
  <c r="H1265" i="6" s="1"/>
  <c r="G1266" i="6"/>
  <c r="H1266" i="6" s="1"/>
  <c r="G1267" i="6"/>
  <c r="H1267" i="6" s="1"/>
  <c r="G1268" i="6"/>
  <c r="H1268" i="6" s="1"/>
  <c r="G1269" i="6"/>
  <c r="G1270" i="6"/>
  <c r="G1271" i="6"/>
  <c r="G1272" i="6"/>
  <c r="G1273" i="6"/>
  <c r="G1274" i="6"/>
  <c r="H1274" i="6" s="1"/>
  <c r="G1275" i="6"/>
  <c r="H1275" i="6" s="1"/>
  <c r="G1276" i="6"/>
  <c r="H1276" i="6" s="1"/>
  <c r="G1277" i="6"/>
  <c r="H1277" i="6" s="1"/>
  <c r="G1278" i="6"/>
  <c r="H1278" i="6" s="1"/>
  <c r="G1279" i="6"/>
  <c r="H1279" i="6" s="1"/>
  <c r="G1280" i="6"/>
  <c r="H1280" i="6" s="1"/>
  <c r="G1281" i="6"/>
  <c r="G1282" i="6"/>
  <c r="G1283" i="6"/>
  <c r="G1284" i="6"/>
  <c r="G1285" i="6"/>
  <c r="G1286" i="6"/>
  <c r="H1286" i="6" s="1"/>
  <c r="G1287" i="6"/>
  <c r="H1287" i="6" s="1"/>
  <c r="G1288" i="6"/>
  <c r="H1288" i="6" s="1"/>
  <c r="G1289" i="6"/>
  <c r="H1289" i="6" s="1"/>
  <c r="G1290" i="6"/>
  <c r="H1290" i="6" s="1"/>
  <c r="G1291" i="6"/>
  <c r="H1291" i="6" s="1"/>
  <c r="G1292" i="6"/>
  <c r="H1292" i="6" s="1"/>
  <c r="G1293" i="6"/>
  <c r="G1294" i="6"/>
  <c r="G1295" i="6"/>
  <c r="G1296" i="6"/>
  <c r="G1297" i="6"/>
  <c r="G1298" i="6"/>
  <c r="H1298" i="6" s="1"/>
  <c r="G1299" i="6"/>
  <c r="H1299" i="6" s="1"/>
  <c r="G1300" i="6"/>
  <c r="H1300" i="6" s="1"/>
  <c r="G1301" i="6"/>
  <c r="H1301" i="6" s="1"/>
  <c r="G1302" i="6"/>
  <c r="H1302" i="6" s="1"/>
  <c r="G1303" i="6"/>
  <c r="H1303" i="6" s="1"/>
  <c r="G1304" i="6"/>
  <c r="H1304" i="6" s="1"/>
  <c r="G1305" i="6"/>
  <c r="G1306" i="6"/>
  <c r="G1307" i="6"/>
  <c r="G1308" i="6"/>
  <c r="G1309" i="6"/>
  <c r="G1310" i="6"/>
  <c r="H1310" i="6" s="1"/>
  <c r="G1311" i="6"/>
  <c r="H1311" i="6" s="1"/>
  <c r="G1312" i="6"/>
  <c r="H1312" i="6" s="1"/>
  <c r="G1313" i="6"/>
  <c r="H1313" i="6" s="1"/>
  <c r="G1314" i="6"/>
  <c r="H1314" i="6" s="1"/>
  <c r="G1315" i="6"/>
  <c r="H1315" i="6" s="1"/>
  <c r="G1316" i="6"/>
  <c r="H1316" i="6" s="1"/>
  <c r="G1317" i="6"/>
  <c r="G1318" i="6"/>
  <c r="G1319" i="6"/>
  <c r="G1320" i="6"/>
  <c r="G1321" i="6"/>
  <c r="G1322" i="6"/>
  <c r="H1322" i="6" s="1"/>
  <c r="G1323" i="6"/>
  <c r="H1323" i="6" s="1"/>
  <c r="G1324" i="6"/>
  <c r="H1324" i="6" s="1"/>
  <c r="G1325" i="6"/>
  <c r="H1325" i="6" s="1"/>
  <c r="G1326" i="6"/>
  <c r="H1326" i="6" s="1"/>
  <c r="G1327" i="6"/>
  <c r="H1327" i="6" s="1"/>
  <c r="G1328" i="6"/>
  <c r="H1328" i="6" s="1"/>
  <c r="G1329" i="6"/>
  <c r="G1330" i="6"/>
  <c r="G1331" i="6"/>
  <c r="G1332" i="6"/>
  <c r="G1333" i="6"/>
  <c r="G1334" i="6"/>
  <c r="H1334" i="6" s="1"/>
  <c r="G1335" i="6"/>
  <c r="H1335" i="6" s="1"/>
  <c r="G1336" i="6"/>
  <c r="H1336" i="6" s="1"/>
  <c r="G1337" i="6"/>
  <c r="H1337" i="6" s="1"/>
  <c r="G1338" i="6"/>
  <c r="H1338" i="6" s="1"/>
  <c r="G1339" i="6"/>
  <c r="H1339" i="6" s="1"/>
  <c r="G1340" i="6"/>
  <c r="H1340" i="6" s="1"/>
  <c r="G1341" i="6"/>
  <c r="G1342" i="6"/>
  <c r="G1343" i="6"/>
  <c r="G1344" i="6"/>
  <c r="G1345" i="6"/>
  <c r="G1346" i="6"/>
  <c r="H1346" i="6" s="1"/>
  <c r="G1347" i="6"/>
  <c r="H1347" i="6" s="1"/>
  <c r="G1348" i="6"/>
  <c r="H1348" i="6" s="1"/>
  <c r="G1349" i="6"/>
  <c r="H1349" i="6" s="1"/>
  <c r="G1350" i="6"/>
  <c r="H1350" i="6" s="1"/>
  <c r="G1351" i="6"/>
  <c r="H1351" i="6" s="1"/>
  <c r="G1352" i="6"/>
  <c r="H1352" i="6" s="1"/>
  <c r="G1353" i="6"/>
  <c r="G1354" i="6"/>
  <c r="G1355" i="6"/>
  <c r="G1356" i="6"/>
  <c r="G1357" i="6"/>
  <c r="G1358" i="6"/>
  <c r="H1358" i="6" s="1"/>
  <c r="G1359" i="6"/>
  <c r="H1359" i="6" s="1"/>
  <c r="G1360" i="6"/>
  <c r="H1360" i="6" s="1"/>
  <c r="G1361" i="6"/>
  <c r="H1361" i="6" s="1"/>
  <c r="G1362" i="6"/>
  <c r="H1362" i="6" s="1"/>
  <c r="G1363" i="6"/>
  <c r="H1363" i="6" s="1"/>
  <c r="G1364" i="6"/>
  <c r="H1364" i="6" s="1"/>
  <c r="G1365" i="6"/>
  <c r="G1366" i="6"/>
  <c r="G1367" i="6"/>
  <c r="G1368" i="6"/>
  <c r="G1369" i="6"/>
  <c r="G1370" i="6"/>
  <c r="H1370" i="6" s="1"/>
  <c r="G1371" i="6"/>
  <c r="H1371" i="6" s="1"/>
  <c r="G1372" i="6"/>
  <c r="H1372" i="6" s="1"/>
  <c r="G1373" i="6"/>
  <c r="H1373" i="6" s="1"/>
  <c r="G1374" i="6"/>
  <c r="H1374" i="6" s="1"/>
  <c r="G1375" i="6"/>
  <c r="H1375" i="6" s="1"/>
  <c r="G1376" i="6"/>
  <c r="H1376" i="6" s="1"/>
  <c r="G1377" i="6"/>
  <c r="G1378" i="6"/>
  <c r="G1379" i="6"/>
  <c r="G1380" i="6"/>
  <c r="G1381" i="6"/>
  <c r="G1382" i="6"/>
  <c r="H1382" i="6" s="1"/>
  <c r="G1383" i="6"/>
  <c r="H1383" i="6" s="1"/>
  <c r="G1384" i="6"/>
  <c r="H1384" i="6" s="1"/>
  <c r="G1385" i="6"/>
  <c r="H1385" i="6" s="1"/>
  <c r="G1386" i="6"/>
  <c r="H1386" i="6" s="1"/>
  <c r="G1387" i="6"/>
  <c r="H1387" i="6" s="1"/>
  <c r="G1388" i="6"/>
  <c r="H1388" i="6" s="1"/>
  <c r="G1389" i="6"/>
  <c r="G1390" i="6"/>
  <c r="G1391" i="6"/>
  <c r="G1392" i="6"/>
  <c r="G1393" i="6"/>
  <c r="G1394" i="6"/>
  <c r="H1394" i="6" s="1"/>
  <c r="G1395" i="6"/>
  <c r="H1395" i="6" s="1"/>
  <c r="G1396" i="6"/>
  <c r="H1396" i="6" s="1"/>
  <c r="G1397" i="6"/>
  <c r="H1397" i="6" s="1"/>
  <c r="G1398" i="6"/>
  <c r="H1398" i="6" s="1"/>
  <c r="G1399" i="6"/>
  <c r="H1399" i="6" s="1"/>
  <c r="G1400" i="6"/>
  <c r="H1400" i="6" s="1"/>
  <c r="G1401" i="6"/>
</calcChain>
</file>

<file path=xl/sharedStrings.xml><?xml version="1.0" encoding="utf-8"?>
<sst xmlns="http://schemas.openxmlformats.org/spreadsheetml/2006/main" count="4261" uniqueCount="44">
  <si>
    <t>Ingresos</t>
  </si>
  <si>
    <t>Gastos</t>
  </si>
  <si>
    <t>Fecha</t>
  </si>
  <si>
    <t>País</t>
  </si>
  <si>
    <t>Marca</t>
  </si>
  <si>
    <t>Colombia</t>
  </si>
  <si>
    <t>Perú</t>
  </si>
  <si>
    <t>México</t>
  </si>
  <si>
    <t>España</t>
  </si>
  <si>
    <t>Argentina</t>
  </si>
  <si>
    <t>Lastra</t>
  </si>
  <si>
    <t>Excelfreack</t>
  </si>
  <si>
    <t>Bipower</t>
  </si>
  <si>
    <t>Deck</t>
  </si>
  <si>
    <t>Canal</t>
  </si>
  <si>
    <t>Eccomerce</t>
  </si>
  <si>
    <t>Fisico</t>
  </si>
  <si>
    <t>Servicio online</t>
  </si>
  <si>
    <t>Local</t>
  </si>
  <si>
    <t>Varios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</si>
  <si>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</si>
  <si>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</si>
  <si>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</si>
  <si>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</si>
  <si>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</si>
  <si>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</si>
  <si>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</si>
  <si>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</si>
  <si>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</si>
  <si>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</si>
  <si>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</si>
  <si>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</si>
  <si>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</si>
  <si>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</si>
  <si>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Beneficio</t>
  </si>
  <si>
    <t>Margen</t>
  </si>
  <si>
    <t>Suma de Ingresos</t>
  </si>
  <si>
    <t>Suma de Gastos</t>
  </si>
  <si>
    <t>Suma de Beneficio</t>
  </si>
  <si>
    <t>Suma de Margen OK</t>
  </si>
  <si>
    <t>Margen Benef</t>
  </si>
  <si>
    <t>Mes</t>
  </si>
  <si>
    <t>Suma Ingresos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</si>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</sst>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/d/yy\ h:mm;@"/>
    <numFmt numFmtId="166" formatCode="_-* #,##0\ [$€-C0A]_-;\-* #,##0\ [$€-C0A]_-;_-* &quot;-&quot;??\ [$€-C0A]_-;_-@_-"/>
    <numFmt numFmtId="167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164" fontId="2" fillId="0" borderId="0" xfId="1" applyFont="1"/>
    <xf numFmtId="166" fontId="2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2" fillId="0" borderId="0" xfId="2" applyFont="1"/>
    <xf numFmtId="9" fontId="0" fillId="0" borderId="0" xfId="2" applyFont="1"/>
    <xf numFmtId="167" fontId="0" fillId="0" borderId="0" xfId="0" applyNumberFormat="1"/>
    <xf numFmtId="0" fontId="0" fillId="2" borderId="0" xfId="0" applyFill="1"/>
    <xf numFmtId="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11">
    <dxf>
      <numFmt numFmtId="166" formatCode="_-* #,##0\ [$€-C0A]_-;\-* #,##0\ [$€-C0A]_-;_-* &quot;-&quot;??\ [$€-C0A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[$€-C0A]_-;\-* #,##0\ [$€-C0A]_-;_-* &quot;-&quot;??\ [$€-C0A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[$€-C0A]_-;\-* #,##0\ [$€-C0A]_-;_-* &quot;-&quot;??\ [$€-C0A]_-;_-@_-"/>
    </dxf>
    <dxf>
      <numFmt numFmtId="168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0.0%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  <dxf>
      <numFmt numFmtId="167" formatCode="0.0%"/>
    </dxf>
    <dxf>
      <numFmt numFmtId="166" formatCode="_-* #,##0\ [$€-C0A]_-;\-* #,##0\ [$€-C0A]_-;_-* &quot;-&quot;??\ [$€-C0A]_-;_-@_-"/>
    </dxf>
    <dxf>
      <numFmt numFmtId="166" formatCode="_-* #,##0\ [$€-C0A]_-;\-* #,##0\ [$€-C0A]_-;_-* &quot;-&quot;??\ [$€-C0A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[04. Dashboard financiero.xlsx]Hoja2!TablaDinámica3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Total Beneficio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</c:pivotFmt>
      <c:pivotFmt>
        <c:idx val="1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Hoja2!$L$3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Hoja2!$K$4:$K$16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Hoja2!$L$4:$L$16</c:f>
              <c:numCache>
                <c:formatCode>_-* #,##0\ [$€-C0A]_-;\-* #,##0\ [$€-C0A]_-;_-* "-"??\ [$€-C0A]_-;_-@_-</c:formatCode>
                <c:ptCount val="12"/>
                <c:pt idx="0">
                  <c:v>2895813.8944037682</c:v>
                </c:pt>
                <c:pt idx="1">
                  <c:v>1557216.4555415181</c:v>
                </c:pt>
                <c:pt idx="2">
                  <c:v>2321041.8098792895</c:v>
                </c:pt>
                <c:pt idx="3">
                  <c:v>2817203.035093999</c:v>
                </c:pt>
                <c:pt idx="4">
                  <c:v>2880194.231598116</c:v>
                </c:pt>
                <c:pt idx="5">
                  <c:v>1777433.9192706924</c:v>
                </c:pt>
                <c:pt idx="6">
                  <c:v>2650936.6787957298</c:v>
                </c:pt>
                <c:pt idx="7">
                  <c:v>1259902.6520303462</c:v>
                </c:pt>
                <c:pt idx="8">
                  <c:v>1233999.2675055771</c:v>
                </c:pt>
                <c:pt idx="9">
                  <c:v>1518517.2889702311</c:v>
                </c:pt>
                <c:pt idx="10">
                  <c:v>1969202.1652614221</c:v>
                </c:pt>
                <c:pt idx="11">
                  <c:v>1165232.326732923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6-4255-B0B0-1C277F6D0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1992495631"/>
        <c:axId val="1992497295"/>
      </c:barChart>
      <c:catAx>
        <c:axId val="199249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92497295"/>
        <c:crosses val="autoZero"/>
        <c:auto val="1"/>
        <c:lblAlgn val="ctr"/>
        <c:lblOffset val="100"/>
        <c:noMultiLvlLbl val="0"/>
      </c:catAx>
      <c:valAx>
        <c:axId val="1992497295"/>
        <c:scaling>
          <c:orientation val="minMax"/>
        </c:scaling>
        <c:delete val="1"/>
        <c:axPos val="l"/>
        <c:numFmt formatCode="_-* #,##0\ [$€-C0A]_-;\-* #,##0\ [$€-C0A]_-;_-* &quot;-&quot;??\ [$€-C0A]_-;_-@_-" sourceLinked="1"/>
        <c:majorTickMark val="none"/>
        <c:minorTickMark val="none"/>
        <c:tickLblPos val="nextTo"/>
        <c:crossAx val="199249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[04. Dashboard financiero.xlsx]Hoja4!TablaDinámica4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País</a:t>
            </a:r>
          </a:p>
        </c:rich>
      </c:tx>
      <c:layout>
        <c:manualLayout>
          <c:xMode val="edge"/>
          <c:yMode val="edge"/>
          <c:x val="0.22864172536266658"/>
          <c:y val="1.556420233463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770557911460389"/>
          <c:y val="0.16070059335968218"/>
          <c:w val="0.64516465609171958"/>
          <c:h val="0.81335906941593383"/>
        </c:manualLayout>
      </c:layout>
      <c:pieChart>
        <c:varyColors val="1"/>
        <c:ser>
          <c:idx val="0"/>
          <c:order val="0"/>
          <c:tx>
            <c:strRef>
              <c:f>Hoja4!$B$3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4D-4DAF-90FE-60CC4C0B23D9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4D-4DAF-90FE-60CC4C0B23D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4D-4DAF-90FE-60CC4C0B23D9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4D-4DAF-90FE-60CC4C0B23D9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4D-4DAF-90FE-60CC4C0B23D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Hoja4!$A$4:$A$9</c:f>
              <c:strCache>
                <c:ptCount val="5"/>
                <c:pt idx="0">
                  <c:v>Argentina</c:v>
                </c:pt>
                <c:pt idx="1">
                  <c:v>Colombia</c:v>
                </c:pt>
                <c:pt idx="2">
                  <c:v>España</c:v>
                </c:pt>
                <c:pt idx="3">
                  <c:v>México</c:v>
                </c:pt>
                <c:pt idx="4">
                  <c:v>Perú</c:v>
                </c:pt>
              </c:strCache>
            </c:strRef>
          </c:cat>
          <c:val>
            <c:numRef>
              <c:f>Hoja4!$B$4:$B$9</c:f>
              <c:numCache>
                <c:formatCode>_-* #,##0\ [$€-C0A]_-;\-* #,##0\ [$€-C0A]_-;_-* "-"??\ [$€-C0A]_-;_-@_-</c:formatCode>
                <c:ptCount val="5"/>
                <c:pt idx="0">
                  <c:v>28458724.079454042</c:v>
                </c:pt>
                <c:pt idx="1">
                  <c:v>31781647.288109388</c:v>
                </c:pt>
                <c:pt idx="2">
                  <c:v>31065613.343907688</c:v>
                </c:pt>
                <c:pt idx="3">
                  <c:v>28281140.058534712</c:v>
                </c:pt>
                <c:pt idx="4">
                  <c:v>32706142.369652774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4D-4DAF-90FE-60CC4C0B23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[04. Dashboard financiero.xlsx]Hoja4!TablaDinámica5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Ingresos por Marca</a:t>
            </a:r>
          </a:p>
        </c:rich>
      </c:tx>
      <c:layout>
        <c:manualLayout>
          <c:xMode val="edge"/>
          <c:yMode val="edge"/>
          <c:x val="0.22864172536266658"/>
          <c:y val="1.556420233463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8829099192789578"/>
              <c:y val="0.2209542930639646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42348008385746"/>
                  <c:h val="0.21043845614915666"/>
                </c:manualLayout>
              </c15:layout>
            </c:ext>
          </c:extLst>
        </c:dLbl>
      </c:pivotFmt>
      <c:pivotFmt>
        <c:idx val="19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770557911460389"/>
          <c:y val="0.16070059335968218"/>
          <c:w val="0.64516465609171958"/>
          <c:h val="0.81335906941593383"/>
        </c:manualLayout>
      </c:layout>
      <c:pieChart>
        <c:varyColors val="1"/>
        <c:ser>
          <c:idx val="0"/>
          <c:order val="0"/>
          <c:tx>
            <c:strRef>
              <c:f>Hoja4!$B$20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4D-4DAF-90FE-60CC4C0B23D9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4D-4DAF-90FE-60CC4C0B23D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4D-4DAF-90FE-60CC4C0B23D9}"/>
              </c:ext>
            </c:extLst>
          </c:dPt>
          <c:dPt>
            <c:idx val="3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4D-4DAF-90FE-60CC4C0B23D9}"/>
              </c:ext>
            </c:extLst>
          </c:dPt>
          <c:dPt>
            <c:idx val="4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4D-4DAF-90FE-60CC4C0B23D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Hoja4!$A$21:$A$26</c:f>
              <c:strCache>
                <c:ptCount val="5"/>
                <c:pt idx="0">
                  <c:v>Bipower</c:v>
                </c:pt>
                <c:pt idx="1">
                  <c:v>Deck</c:v>
                </c:pt>
                <c:pt idx="2">
                  <c:v>Excelfreack</c:v>
                </c:pt>
                <c:pt idx="3">
                  <c:v>Lastra</c:v>
                </c:pt>
                <c:pt idx="4">
                  <c:v>Water</c:v>
                </c:pt>
              </c:strCache>
            </c:strRef>
          </c:cat>
          <c:val>
            <c:numRef>
              <c:f>Hoja4!$B$21:$B$26</c:f>
              <c:numCache>
                <c:formatCode>General</c:formatCode>
                <c:ptCount val="5"/>
                <c:pt idx="0">
                  <c:v>30813807.898761727</c:v>
                </c:pt>
                <c:pt idx="1">
                  <c:v>27580603.725563254</c:v>
                </c:pt>
                <c:pt idx="2">
                  <c:v>19652463.165671259</c:v>
                </c:pt>
                <c:pt idx="3">
                  <c:v>40619275.145183556</c:v>
                </c:pt>
                <c:pt idx="4">
                  <c:v>33627117.2044788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4D-4DAF-90FE-60CC4C0B23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10.png"/><Relationship Id="rId18" Type="http://schemas.openxmlformats.org/officeDocument/2006/relationships/image" Target="../media/image15.svg"/><Relationship Id="rId3" Type="http://schemas.openxmlformats.org/officeDocument/2006/relationships/chart" Target="../charts/chart2.xml"/><Relationship Id="rId21" Type="http://schemas.openxmlformats.org/officeDocument/2006/relationships/image" Target="../media/image18.png"/><Relationship Id="rId7" Type="http://schemas.openxmlformats.org/officeDocument/2006/relationships/image" Target="../media/image4.png"/><Relationship Id="rId12" Type="http://schemas.openxmlformats.org/officeDocument/2006/relationships/image" Target="../media/image9.svg"/><Relationship Id="rId17" Type="http://schemas.openxmlformats.org/officeDocument/2006/relationships/image" Target="../media/image14.png"/><Relationship Id="rId2" Type="http://schemas.openxmlformats.org/officeDocument/2006/relationships/chart" Target="../charts/chart1.xml"/><Relationship Id="rId16" Type="http://schemas.openxmlformats.org/officeDocument/2006/relationships/image" Target="../media/image13.svg"/><Relationship Id="rId20" Type="http://schemas.openxmlformats.org/officeDocument/2006/relationships/image" Target="../media/image17.svg"/><Relationship Id="rId1" Type="http://schemas.openxmlformats.org/officeDocument/2006/relationships/image" Target="../media/image1.jpg"/><Relationship Id="rId6" Type="http://schemas.openxmlformats.org/officeDocument/2006/relationships/image" Target="../media/image3.sv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5" Type="http://schemas.openxmlformats.org/officeDocument/2006/relationships/image" Target="../media/image12.png"/><Relationship Id="rId23" Type="http://schemas.openxmlformats.org/officeDocument/2006/relationships/image" Target="../media/image20.emf"/><Relationship Id="rId10" Type="http://schemas.openxmlformats.org/officeDocument/2006/relationships/image" Target="../media/image7.svg"/><Relationship Id="rId19" Type="http://schemas.openxmlformats.org/officeDocument/2006/relationships/image" Target="../media/image16.png"/><Relationship Id="rId4" Type="http://schemas.openxmlformats.org/officeDocument/2006/relationships/chart" Target="../charts/chart3.xml"/><Relationship Id="rId9" Type="http://schemas.openxmlformats.org/officeDocument/2006/relationships/image" Target="../media/image6.png"/><Relationship Id="rId14" Type="http://schemas.openxmlformats.org/officeDocument/2006/relationships/image" Target="../media/image11.svg"/><Relationship Id="rId22" Type="http://schemas.openxmlformats.org/officeDocument/2006/relationships/image" Target="../media/image19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84667</xdr:rowOff>
    </xdr:from>
    <xdr:to>
      <xdr:col>18</xdr:col>
      <xdr:colOff>481011</xdr:colOff>
      <xdr:row>38</xdr:row>
      <xdr:rowOff>149423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3579D50-7385-4624-AE40-68C0C2434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88"/>
        <a:stretch/>
      </xdr:blipFill>
      <xdr:spPr>
        <a:xfrm>
          <a:off x="114299" y="275167"/>
          <a:ext cx="13437129" cy="7303756"/>
        </a:xfrm>
        <a:prstGeom prst="rect">
          <a:avLst/>
        </a:prstGeom>
      </xdr:spPr>
    </xdr:pic>
    <xdr:clientData/>
  </xdr:twoCellAnchor>
  <xdr:twoCellAnchor editAs="oneCell">
    <xdr:from>
      <xdr:col>14</xdr:col>
      <xdr:colOff>619126</xdr:colOff>
      <xdr:row>8</xdr:row>
      <xdr:rowOff>161925</xdr:rowOff>
    </xdr:from>
    <xdr:to>
      <xdr:col>17</xdr:col>
      <xdr:colOff>752476</xdr:colOff>
      <xdr:row>16</xdr:row>
      <xdr:rowOff>9525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Fecha">
              <a:extLst>
                <a:ext uri="{FF2B5EF4-FFF2-40B4-BE49-F238E27FC236}">
                  <a16:creationId xmlns:a16="http://schemas.microsoft.com/office/drawing/2014/main" id="{FBF65939-4662-482E-BB28-3823DFF1F8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11126" y="1876425"/>
              <a:ext cx="24193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676274</xdr:colOff>
      <xdr:row>17</xdr:row>
      <xdr:rowOff>9525</xdr:rowOff>
    </xdr:from>
    <xdr:to>
      <xdr:col>16</xdr:col>
      <xdr:colOff>266699</xdr:colOff>
      <xdr:row>26</xdr:row>
      <xdr:rowOff>28574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aís">
              <a:extLst>
                <a:ext uri="{FF2B5EF4-FFF2-40B4-BE49-F238E27FC236}">
                  <a16:creationId xmlns:a16="http://schemas.microsoft.com/office/drawing/2014/main" id="{4910E250-9678-404B-9C2D-4E1ADF0C52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68274" y="3438525"/>
              <a:ext cx="1114425" cy="1733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371475</xdr:colOff>
      <xdr:row>17</xdr:row>
      <xdr:rowOff>19049</xdr:rowOff>
    </xdr:from>
    <xdr:to>
      <xdr:col>17</xdr:col>
      <xdr:colOff>723900</xdr:colOff>
      <xdr:row>26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arca">
              <a:extLst>
                <a:ext uri="{FF2B5EF4-FFF2-40B4-BE49-F238E27FC236}">
                  <a16:creationId xmlns:a16="http://schemas.microsoft.com/office/drawing/2014/main" id="{2FC95DCE-8542-45CE-B3E1-25D052D146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7475" y="3448049"/>
              <a:ext cx="1114425" cy="1704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695325</xdr:colOff>
      <xdr:row>26</xdr:row>
      <xdr:rowOff>152400</xdr:rowOff>
    </xdr:from>
    <xdr:to>
      <xdr:col>17</xdr:col>
      <xdr:colOff>676275</xdr:colOff>
      <xdr:row>36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anal">
              <a:extLst>
                <a:ext uri="{FF2B5EF4-FFF2-40B4-BE49-F238E27FC236}">
                  <a16:creationId xmlns:a16="http://schemas.microsoft.com/office/drawing/2014/main" id="{7798637C-851E-4AAC-9660-DFB5E1D1B0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7325" y="5295900"/>
              <a:ext cx="226695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257174</xdr:colOff>
      <xdr:row>8</xdr:row>
      <xdr:rowOff>104775</xdr:rowOff>
    </xdr:from>
    <xdr:to>
      <xdr:col>13</xdr:col>
      <xdr:colOff>704849</xdr:colOff>
      <xdr:row>19</xdr:row>
      <xdr:rowOff>38100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5B1E2C6C-59E8-4137-8F56-C08FFF949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428626</xdr:colOff>
      <xdr:row>8</xdr:row>
      <xdr:rowOff>38100</xdr:rowOff>
    </xdr:from>
    <xdr:to>
      <xdr:col>5</xdr:col>
      <xdr:colOff>466725</xdr:colOff>
      <xdr:row>21</xdr:row>
      <xdr:rowOff>9525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46F95EB3-F8E9-4D27-BA5A-90C1F7308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476251</xdr:colOff>
      <xdr:row>23</xdr:row>
      <xdr:rowOff>123824</xdr:rowOff>
    </xdr:from>
    <xdr:to>
      <xdr:col>5</xdr:col>
      <xdr:colOff>457201</xdr:colOff>
      <xdr:row>36</xdr:row>
      <xdr:rowOff>38099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61580EA-E859-402B-8096-DD7935D3D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85726</xdr:colOff>
      <xdr:row>1</xdr:row>
      <xdr:rowOff>66676</xdr:rowOff>
    </xdr:from>
    <xdr:to>
      <xdr:col>8</xdr:col>
      <xdr:colOff>552450</xdr:colOff>
      <xdr:row>3</xdr:row>
      <xdr:rowOff>152400</xdr:rowOff>
    </xdr:to>
    <xdr:pic>
      <xdr:nvPicPr>
        <xdr:cNvPr id="28" name="Gráfico 27" descr="Dinero contorno">
          <a:extLst>
            <a:ext uri="{FF2B5EF4-FFF2-40B4-BE49-F238E27FC236}">
              <a16:creationId xmlns:a16="http://schemas.microsoft.com/office/drawing/2014/main" id="{8CAC439A-0E42-4824-ADBF-7442226D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705726" y="447676"/>
          <a:ext cx="466724" cy="466724"/>
        </a:xfrm>
        <a:prstGeom prst="rect">
          <a:avLst/>
        </a:prstGeom>
      </xdr:spPr>
    </xdr:pic>
    <xdr:clientData/>
  </xdr:twoCellAnchor>
  <xdr:twoCellAnchor editAs="oneCell">
    <xdr:from>
      <xdr:col>4</xdr:col>
      <xdr:colOff>711975</xdr:colOff>
      <xdr:row>1</xdr:row>
      <xdr:rowOff>83325</xdr:rowOff>
    </xdr:from>
    <xdr:to>
      <xdr:col>5</xdr:col>
      <xdr:colOff>419100</xdr:colOff>
      <xdr:row>3</xdr:row>
      <xdr:rowOff>171450</xdr:rowOff>
    </xdr:to>
    <xdr:pic>
      <xdr:nvPicPr>
        <xdr:cNvPr id="30" name="Gráfico 29" descr="Monedas contorno">
          <a:extLst>
            <a:ext uri="{FF2B5EF4-FFF2-40B4-BE49-F238E27FC236}">
              <a16:creationId xmlns:a16="http://schemas.microsoft.com/office/drawing/2014/main" id="{164AC400-1D87-450B-993E-A5896CE4A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283975" y="464325"/>
          <a:ext cx="469125" cy="469125"/>
        </a:xfrm>
        <a:prstGeom prst="rect">
          <a:avLst/>
        </a:prstGeom>
      </xdr:spPr>
    </xdr:pic>
    <xdr:clientData/>
  </xdr:twoCellAnchor>
  <xdr:twoCellAnchor editAs="oneCell">
    <xdr:from>
      <xdr:col>1</xdr:col>
      <xdr:colOff>519075</xdr:colOff>
      <xdr:row>1</xdr:row>
      <xdr:rowOff>128550</xdr:rowOff>
    </xdr:from>
    <xdr:to>
      <xdr:col>2</xdr:col>
      <xdr:colOff>161925</xdr:colOff>
      <xdr:row>3</xdr:row>
      <xdr:rowOff>152400</xdr:rowOff>
    </xdr:to>
    <xdr:pic>
      <xdr:nvPicPr>
        <xdr:cNvPr id="32" name="Gráfico 31" descr="Caja fuerte contorno">
          <a:extLst>
            <a:ext uri="{FF2B5EF4-FFF2-40B4-BE49-F238E27FC236}">
              <a16:creationId xmlns:a16="http://schemas.microsoft.com/office/drawing/2014/main" id="{006BD690-8973-4DAB-A5FD-D182CB776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805075" y="509550"/>
          <a:ext cx="404850" cy="404850"/>
        </a:xfrm>
        <a:prstGeom prst="rect">
          <a:avLst/>
        </a:prstGeom>
      </xdr:spPr>
    </xdr:pic>
    <xdr:clientData/>
  </xdr:twoCellAnchor>
  <xdr:oneCellAnchor>
    <xdr:from>
      <xdr:col>14</xdr:col>
      <xdr:colOff>533400</xdr:colOff>
      <xdr:row>1</xdr:row>
      <xdr:rowOff>66675</xdr:rowOff>
    </xdr:from>
    <xdr:ext cx="2152650" cy="1476375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6EA3DFC6-20B6-42BE-A924-92DBB425AC2E}"/>
            </a:ext>
          </a:extLst>
        </xdr:cNvPr>
        <xdr:cNvSpPr txBox="1"/>
      </xdr:nvSpPr>
      <xdr:spPr>
        <a:xfrm>
          <a:off x="12725400" y="447675"/>
          <a:ext cx="2152650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S" sz="3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Freestyle Script" panose="030804020302050B0404" pitchFamily="66" charset="0"/>
            </a:rPr>
            <a:t>DASHBOARD</a:t>
          </a:r>
        </a:p>
        <a:p>
          <a:pPr algn="ctr"/>
          <a:r>
            <a:rPr lang="es-ES" sz="3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Freestyle Script" panose="030804020302050B0404" pitchFamily="66" charset="0"/>
            </a:rPr>
            <a:t>FINANCIERO</a:t>
          </a:r>
        </a:p>
      </xdr:txBody>
    </xdr:sp>
    <xdr:clientData/>
  </xdr:oneCellAnchor>
  <xdr:twoCellAnchor editAs="oneCell">
    <xdr:from>
      <xdr:col>17</xdr:col>
      <xdr:colOff>247650</xdr:colOff>
      <xdr:row>3</xdr:row>
      <xdr:rowOff>85725</xdr:rowOff>
    </xdr:from>
    <xdr:to>
      <xdr:col>18</xdr:col>
      <xdr:colOff>114300</xdr:colOff>
      <xdr:row>6</xdr:row>
      <xdr:rowOff>142875</xdr:rowOff>
    </xdr:to>
    <xdr:pic>
      <xdr:nvPicPr>
        <xdr:cNvPr id="37" name="Gráfico 36" descr="Calculadora contorno">
          <a:extLst>
            <a:ext uri="{FF2B5EF4-FFF2-40B4-BE49-F238E27FC236}">
              <a16:creationId xmlns:a16="http://schemas.microsoft.com/office/drawing/2014/main" id="{8A7A399B-F8C0-4847-89F5-7AF8C6D6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725650" y="847725"/>
          <a:ext cx="628650" cy="628650"/>
        </a:xfrm>
        <a:prstGeom prst="rect">
          <a:avLst/>
        </a:prstGeom>
      </xdr:spPr>
    </xdr:pic>
    <xdr:clientData/>
  </xdr:twoCellAnchor>
  <xdr:twoCellAnchor>
    <xdr:from>
      <xdr:col>1</xdr:col>
      <xdr:colOff>384175</xdr:colOff>
      <xdr:row>3</xdr:row>
      <xdr:rowOff>104775</xdr:rowOff>
    </xdr:from>
    <xdr:to>
      <xdr:col>4</xdr:col>
      <xdr:colOff>241300</xdr:colOff>
      <xdr:row>6</xdr:row>
      <xdr:rowOff>66675</xdr:rowOff>
    </xdr:to>
    <xdr:sp macro="" textlink="Hoja5!A4">
      <xdr:nvSpPr>
        <xdr:cNvPr id="38" name="CuadroTexto 37">
          <a:extLst>
            <a:ext uri="{FF2B5EF4-FFF2-40B4-BE49-F238E27FC236}">
              <a16:creationId xmlns:a16="http://schemas.microsoft.com/office/drawing/2014/main" id="{E8D0FA43-CE04-4DE3-BE76-424A83AFB140}"/>
            </a:ext>
          </a:extLst>
        </xdr:cNvPr>
        <xdr:cNvSpPr txBox="1"/>
      </xdr:nvSpPr>
      <xdr:spPr>
        <a:xfrm>
          <a:off x="2670175" y="866775"/>
          <a:ext cx="21431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13966F0-2B54-4BAD-95B3-627F5C79D765}" type="TxLink">
            <a:rPr lang="en-US" sz="3200" b="0" i="0" u="none" strike="noStrike">
              <a:solidFill>
                <a:schemeClr val="bg1"/>
              </a:solidFill>
              <a:latin typeface="Freestyle Script" panose="030804020302050B0404" pitchFamily="66" charset="0"/>
              <a:cs typeface="Calibri"/>
            </a:rPr>
            <a:pPr algn="ctr"/>
            <a:t> 152.293.267 € </a:t>
          </a:fld>
          <a:endParaRPr lang="es-ES" sz="3200">
            <a:solidFill>
              <a:schemeClr val="bg1"/>
            </a:solidFill>
            <a:latin typeface="Freestyle Script" panose="030804020302050B0404" pitchFamily="66" charset="0"/>
          </a:endParaRPr>
        </a:p>
      </xdr:txBody>
    </xdr:sp>
    <xdr:clientData/>
  </xdr:twoCellAnchor>
  <xdr:twoCellAnchor>
    <xdr:from>
      <xdr:col>4</xdr:col>
      <xdr:colOff>577850</xdr:colOff>
      <xdr:row>3</xdr:row>
      <xdr:rowOff>104775</xdr:rowOff>
    </xdr:from>
    <xdr:to>
      <xdr:col>7</xdr:col>
      <xdr:colOff>434975</xdr:colOff>
      <xdr:row>6</xdr:row>
      <xdr:rowOff>66675</xdr:rowOff>
    </xdr:to>
    <xdr:sp macro="" textlink="Hoja5!B4">
      <xdr:nvSpPr>
        <xdr:cNvPr id="42" name="CuadroTexto 41">
          <a:extLst>
            <a:ext uri="{FF2B5EF4-FFF2-40B4-BE49-F238E27FC236}">
              <a16:creationId xmlns:a16="http://schemas.microsoft.com/office/drawing/2014/main" id="{AA867488-35F3-47CD-AD5C-C0D95F7D094A}"/>
            </a:ext>
          </a:extLst>
        </xdr:cNvPr>
        <xdr:cNvSpPr txBox="1"/>
      </xdr:nvSpPr>
      <xdr:spPr>
        <a:xfrm>
          <a:off x="5149850" y="866775"/>
          <a:ext cx="21431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D92E27-445F-4377-B6E3-6C4E3F03AF85}" type="TxLink">
            <a:rPr lang="en-US" sz="3200" b="0" i="0" u="none" strike="noStrike">
              <a:solidFill>
                <a:schemeClr val="bg1"/>
              </a:solidFill>
              <a:latin typeface="Freestyle Script" panose="030804020302050B0404" pitchFamily="66" charset="0"/>
              <a:cs typeface="Calibri"/>
            </a:rPr>
            <a:pPr algn="ctr"/>
            <a:t> 128.246.573 € </a:t>
          </a:fld>
          <a:endParaRPr lang="es-ES" sz="3200">
            <a:solidFill>
              <a:schemeClr val="bg1"/>
            </a:solidFill>
            <a:latin typeface="Freestyle Script" panose="030804020302050B0404" pitchFamily="66" charset="0"/>
          </a:endParaRPr>
        </a:p>
      </xdr:txBody>
    </xdr:sp>
    <xdr:clientData/>
  </xdr:twoCellAnchor>
  <xdr:twoCellAnchor>
    <xdr:from>
      <xdr:col>8</xdr:col>
      <xdr:colOff>9525</xdr:colOff>
      <xdr:row>3</xdr:row>
      <xdr:rowOff>104775</xdr:rowOff>
    </xdr:from>
    <xdr:to>
      <xdr:col>10</xdr:col>
      <xdr:colOff>628650</xdr:colOff>
      <xdr:row>6</xdr:row>
      <xdr:rowOff>66675</xdr:rowOff>
    </xdr:to>
    <xdr:sp macro="" textlink="Hoja5!C4">
      <xdr:nvSpPr>
        <xdr:cNvPr id="43" name="CuadroTexto 42">
          <a:extLst>
            <a:ext uri="{FF2B5EF4-FFF2-40B4-BE49-F238E27FC236}">
              <a16:creationId xmlns:a16="http://schemas.microsoft.com/office/drawing/2014/main" id="{BD2E5D67-1FD6-4791-84E5-7E46A91F0FB8}"/>
            </a:ext>
          </a:extLst>
        </xdr:cNvPr>
        <xdr:cNvSpPr txBox="1"/>
      </xdr:nvSpPr>
      <xdr:spPr>
        <a:xfrm>
          <a:off x="7629525" y="866775"/>
          <a:ext cx="21431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86132E6-31AB-4524-908E-859037CE7372}" type="TxLink">
            <a:rPr lang="en-US" sz="3200" b="0" i="0" u="none" strike="noStrike">
              <a:solidFill>
                <a:schemeClr val="bg1"/>
              </a:solidFill>
              <a:latin typeface="Freestyle Script" panose="030804020302050B0404" pitchFamily="66" charset="0"/>
              <a:cs typeface="Calibri"/>
            </a:rPr>
            <a:pPr algn="ctr"/>
            <a:t> 24.046.694 € </a:t>
          </a:fld>
          <a:endParaRPr lang="es-ES" sz="3200">
            <a:solidFill>
              <a:schemeClr val="bg1"/>
            </a:solidFill>
            <a:latin typeface="Freestyle Script" panose="030804020302050B0404" pitchFamily="66" charset="0"/>
          </a:endParaRPr>
        </a:p>
      </xdr:txBody>
    </xdr:sp>
    <xdr:clientData/>
  </xdr:twoCellAnchor>
  <xdr:twoCellAnchor>
    <xdr:from>
      <xdr:col>11</xdr:col>
      <xdr:colOff>231775</xdr:colOff>
      <xdr:row>3</xdr:row>
      <xdr:rowOff>104775</xdr:rowOff>
    </xdr:from>
    <xdr:to>
      <xdr:col>14</xdr:col>
      <xdr:colOff>88900</xdr:colOff>
      <xdr:row>6</xdr:row>
      <xdr:rowOff>66675</xdr:rowOff>
    </xdr:to>
    <xdr:sp macro="" textlink="Hoja5!D4">
      <xdr:nvSpPr>
        <xdr:cNvPr id="44" name="CuadroTexto 43">
          <a:extLst>
            <a:ext uri="{FF2B5EF4-FFF2-40B4-BE49-F238E27FC236}">
              <a16:creationId xmlns:a16="http://schemas.microsoft.com/office/drawing/2014/main" id="{5653578D-B7C0-4278-84DA-5B7147927630}"/>
            </a:ext>
          </a:extLst>
        </xdr:cNvPr>
        <xdr:cNvSpPr txBox="1"/>
      </xdr:nvSpPr>
      <xdr:spPr>
        <a:xfrm>
          <a:off x="10137775" y="866775"/>
          <a:ext cx="21431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7285A1F-463C-4DEF-8F83-87688C33E395}" type="TxLink">
            <a:rPr lang="en-US" sz="3200" b="0" i="0" u="none" strike="noStrike">
              <a:solidFill>
                <a:schemeClr val="bg1"/>
              </a:solidFill>
              <a:latin typeface="Freestyle Script" panose="030804020302050B0404" pitchFamily="66" charset="0"/>
              <a:cs typeface="Calibri"/>
            </a:rPr>
            <a:pPr algn="ctr"/>
            <a:t>15,8%</a:t>
          </a:fld>
          <a:endParaRPr lang="es-ES" sz="3200">
            <a:solidFill>
              <a:schemeClr val="bg1"/>
            </a:solidFill>
            <a:latin typeface="Freestyle Script" panose="030804020302050B0404" pitchFamily="66" charset="0"/>
          </a:endParaRPr>
        </a:p>
      </xdr:txBody>
    </xdr:sp>
    <xdr:clientData/>
  </xdr:twoCellAnchor>
  <xdr:oneCellAnchor>
    <xdr:from>
      <xdr:col>11</xdr:col>
      <xdr:colOff>228600</xdr:colOff>
      <xdr:row>1</xdr:row>
      <xdr:rowOff>57150</xdr:rowOff>
    </xdr:from>
    <xdr:ext cx="2152650" cy="561975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550B0788-CCF8-4B75-B80A-35691461E9BC}"/>
            </a:ext>
          </a:extLst>
        </xdr:cNvPr>
        <xdr:cNvSpPr txBox="1"/>
      </xdr:nvSpPr>
      <xdr:spPr>
        <a:xfrm>
          <a:off x="10134600" y="438150"/>
          <a:ext cx="21526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S" sz="32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Freestyle Script" panose="030804020302050B0404" pitchFamily="66" charset="0"/>
            </a:rPr>
            <a:t>Margen</a:t>
          </a:r>
        </a:p>
      </xdr:txBody>
    </xdr:sp>
    <xdr:clientData/>
  </xdr:oneCellAnchor>
  <xdr:oneCellAnchor>
    <xdr:from>
      <xdr:col>8</xdr:col>
      <xdr:colOff>9525</xdr:colOff>
      <xdr:row>1</xdr:row>
      <xdr:rowOff>57150</xdr:rowOff>
    </xdr:from>
    <xdr:ext cx="2152650" cy="561975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836647F-BA2B-4EE6-B382-DD91DF9B6B79}"/>
            </a:ext>
          </a:extLst>
        </xdr:cNvPr>
        <xdr:cNvSpPr txBox="1"/>
      </xdr:nvSpPr>
      <xdr:spPr>
        <a:xfrm>
          <a:off x="7629525" y="438150"/>
          <a:ext cx="21526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S" sz="32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Freestyle Script" panose="030804020302050B0404" pitchFamily="66" charset="0"/>
            </a:rPr>
            <a:t>Beneficio</a:t>
          </a:r>
        </a:p>
      </xdr:txBody>
    </xdr:sp>
    <xdr:clientData/>
  </xdr:oneCellAnchor>
  <xdr:oneCellAnchor>
    <xdr:from>
      <xdr:col>1</xdr:col>
      <xdr:colOff>371474</xdr:colOff>
      <xdr:row>1</xdr:row>
      <xdr:rowOff>76200</xdr:rowOff>
    </xdr:from>
    <xdr:ext cx="2152650" cy="561975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825361E3-39ED-4827-8A04-77FA691AC2F6}"/>
            </a:ext>
          </a:extLst>
        </xdr:cNvPr>
        <xdr:cNvSpPr txBox="1"/>
      </xdr:nvSpPr>
      <xdr:spPr>
        <a:xfrm>
          <a:off x="2657474" y="457200"/>
          <a:ext cx="21526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S" sz="32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Freestyle Script" panose="030804020302050B0404" pitchFamily="66" charset="0"/>
            </a:rPr>
            <a:t>Ingresos</a:t>
          </a:r>
        </a:p>
      </xdr:txBody>
    </xdr:sp>
    <xdr:clientData/>
  </xdr:oneCellAnchor>
  <xdr:oneCellAnchor>
    <xdr:from>
      <xdr:col>4</xdr:col>
      <xdr:colOff>581024</xdr:colOff>
      <xdr:row>1</xdr:row>
      <xdr:rowOff>38100</xdr:rowOff>
    </xdr:from>
    <xdr:ext cx="2152650" cy="561975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B42C6F8B-40C1-4F6A-A3B1-FC7AFAF0D743}"/>
            </a:ext>
          </a:extLst>
        </xdr:cNvPr>
        <xdr:cNvSpPr txBox="1"/>
      </xdr:nvSpPr>
      <xdr:spPr>
        <a:xfrm>
          <a:off x="5153024" y="419100"/>
          <a:ext cx="21526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S" sz="32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Freestyle Script" panose="030804020302050B0404" pitchFamily="66" charset="0"/>
            </a:rPr>
            <a:t>Gastos</a:t>
          </a:r>
        </a:p>
      </xdr:txBody>
    </xdr:sp>
    <xdr:clientData/>
  </xdr:oneCellAnchor>
  <xdr:twoCellAnchor editAs="oneCell">
    <xdr:from>
      <xdr:col>1</xdr:col>
      <xdr:colOff>495300</xdr:colOff>
      <xdr:row>23</xdr:row>
      <xdr:rowOff>114300</xdr:rowOff>
    </xdr:from>
    <xdr:to>
      <xdr:col>2</xdr:col>
      <xdr:colOff>314325</xdr:colOff>
      <xdr:row>26</xdr:row>
      <xdr:rowOff>123825</xdr:rowOff>
    </xdr:to>
    <xdr:pic>
      <xdr:nvPicPr>
        <xdr:cNvPr id="53" name="Gráfico 52" descr="Presentación con gráfico de barras con relleno sólido">
          <a:extLst>
            <a:ext uri="{FF2B5EF4-FFF2-40B4-BE49-F238E27FC236}">
              <a16:creationId xmlns:a16="http://schemas.microsoft.com/office/drawing/2014/main" id="{319DACCE-6FB1-445C-B37F-AFFE160A1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81300" y="46863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7</xdr:col>
      <xdr:colOff>559576</xdr:colOff>
      <xdr:row>8</xdr:row>
      <xdr:rowOff>7126</xdr:rowOff>
    </xdr:from>
    <xdr:to>
      <xdr:col>8</xdr:col>
      <xdr:colOff>409576</xdr:colOff>
      <xdr:row>11</xdr:row>
      <xdr:rowOff>47626</xdr:rowOff>
    </xdr:to>
    <xdr:pic>
      <xdr:nvPicPr>
        <xdr:cNvPr id="55" name="Gráfico 54" descr="Señal contorno">
          <a:extLst>
            <a:ext uri="{FF2B5EF4-FFF2-40B4-BE49-F238E27FC236}">
              <a16:creationId xmlns:a16="http://schemas.microsoft.com/office/drawing/2014/main" id="{9C9C7262-EB78-40EA-8C5C-93B2C7990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7417576" y="1721626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461925</xdr:colOff>
      <xdr:row>7</xdr:row>
      <xdr:rowOff>185700</xdr:rowOff>
    </xdr:from>
    <xdr:to>
      <xdr:col>2</xdr:col>
      <xdr:colOff>342900</xdr:colOff>
      <xdr:row>11</xdr:row>
      <xdr:rowOff>66675</xdr:rowOff>
    </xdr:to>
    <xdr:pic>
      <xdr:nvPicPr>
        <xdr:cNvPr id="57" name="Gráfico 56" descr="Presentación con gráfico circular con relleno sólido">
          <a:extLst>
            <a:ext uri="{FF2B5EF4-FFF2-40B4-BE49-F238E27FC236}">
              <a16:creationId xmlns:a16="http://schemas.microsoft.com/office/drawing/2014/main" id="{9E077BC0-B792-4FB7-8DE5-80629B022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7925" y="1709700"/>
          <a:ext cx="642975" cy="642975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1</xdr:row>
      <xdr:rowOff>114300</xdr:rowOff>
    </xdr:from>
    <xdr:to>
      <xdr:col>12</xdr:col>
      <xdr:colOff>28575</xdr:colOff>
      <xdr:row>4</xdr:row>
      <xdr:rowOff>9525</xdr:rowOff>
    </xdr:to>
    <xdr:pic>
      <xdr:nvPicPr>
        <xdr:cNvPr id="59" name="Gráfico 58" descr="Cofre del tesoro contorno">
          <a:extLst>
            <a:ext uri="{FF2B5EF4-FFF2-40B4-BE49-F238E27FC236}">
              <a16:creationId xmlns:a16="http://schemas.microsoft.com/office/drawing/2014/main" id="{54DE82B9-A568-4727-8D51-02CF189F7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0229850" y="4953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12</xdr:col>
      <xdr:colOff>628650</xdr:colOff>
      <xdr:row>7</xdr:row>
      <xdr:rowOff>38098</xdr:rowOff>
    </xdr:from>
    <xdr:to>
      <xdr:col>14</xdr:col>
      <xdr:colOff>200025</xdr:colOff>
      <xdr:row>12</xdr:row>
      <xdr:rowOff>180973</xdr:rowOff>
    </xdr:to>
    <xdr:pic>
      <xdr:nvPicPr>
        <xdr:cNvPr id="61" name="Gráfico 60" descr="Bombilla">
          <a:extLst>
            <a:ext uri="{FF2B5EF4-FFF2-40B4-BE49-F238E27FC236}">
              <a16:creationId xmlns:a16="http://schemas.microsoft.com/office/drawing/2014/main" id="{53C00C29-000B-402B-8673-8E460A4D9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96650" y="1562098"/>
          <a:ext cx="1095375" cy="1095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504825</xdr:colOff>
          <xdr:row>19</xdr:row>
          <xdr:rowOff>165305</xdr:rowOff>
        </xdr:from>
        <xdr:to>
          <xdr:col>13</xdr:col>
          <xdr:colOff>676275</xdr:colOff>
          <xdr:row>35</xdr:row>
          <xdr:rowOff>47625</xdr:rowOff>
        </xdr:to>
        <xdr:pic>
          <xdr:nvPicPr>
            <xdr:cNvPr id="3102" name="Picture 30">
              <a:extLst>
                <a:ext uri="{FF2B5EF4-FFF2-40B4-BE49-F238E27FC236}">
                  <a16:creationId xmlns:a16="http://schemas.microsoft.com/office/drawing/2014/main" id="{1FE42A69-8A5C-4E72-AD9A-9786DCC1BC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2!$A$3:$E$16" spid="_x0000_s3141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6600825" y="3975305"/>
              <a:ext cx="5505450" cy="29303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4266.464540393521" createdVersion="6" refreshedVersion="6" minRefreshableVersion="3" recordCount="1400" xr:uid="{0CD8B6AD-778F-4A04-92AF-888374CA43CF}">
  <cacheSource type="worksheet">
    <worksheetSource name="Tabla1"/>
  </cacheSource>
  <cacheFields count="11">
    <cacheField name="Fecha" numFmtId="14">
      <sharedItems containsSemiMixedTypes="0" containsNonDate="0" containsDate="1" containsString="0" minDate="2018-01-01T00:00:00" maxDate="2020-08-01T00:00:00" count="746">
        <d v="2018-01-01T00:00:00"/>
        <d v="2018-01-03T00:00:00"/>
        <d v="2018-01-04T00:00:00"/>
        <d v="2018-01-05T00:00:00"/>
        <d v="2018-01-07T00:00:00"/>
        <d v="2018-01-08T00:00:00"/>
        <d v="2018-01-09T00:00:00"/>
        <d v="2018-01-10T00:00:00"/>
        <d v="2018-01-11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3T00:00:00"/>
        <d v="2018-02-05T00:00:00"/>
        <d v="2018-02-06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20T00:00:00"/>
        <d v="2018-02-21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8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6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10T00:00:00"/>
        <d v="2018-04-11T00:00:00"/>
        <d v="2018-04-12T00:00:00"/>
        <d v="2018-04-13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4T00:00:00"/>
        <d v="2018-04-26T00:00:00"/>
        <d v="2018-04-27T00:00:00"/>
        <d v="2018-04-28T00:00:00"/>
        <d v="2018-04-29T00:00:00"/>
        <d v="2018-04-30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2T00:00:00"/>
        <d v="2018-05-23T00:00:00"/>
        <d v="2018-05-24T00:00:00"/>
        <d v="2018-05-25T00:00:00"/>
        <d v="2018-05-26T00:00:00"/>
        <d v="2018-05-27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8T00:00:00"/>
        <d v="2018-06-19T00:00:00"/>
        <d v="2018-06-21T00:00:00"/>
        <d v="2018-06-22T00:00:00"/>
        <d v="2018-06-23T00:00:00"/>
        <d v="2018-06-24T00:00:00"/>
        <d v="2018-06-26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1T00:00:00"/>
        <d v="2018-07-24T00:00:00"/>
        <d v="2018-07-25T00:00:00"/>
        <d v="2018-07-27T00:00:00"/>
        <d v="2018-07-28T00:00:00"/>
        <d v="2018-07-29T00:00:00"/>
        <d v="2018-07-30T00:00:00"/>
        <d v="2018-08-01T00:00:00"/>
        <d v="2018-08-02T00:00:00"/>
        <d v="2018-08-04T00:00:00"/>
        <d v="2018-08-05T00:00:00"/>
        <d v="2018-08-06T00:00:00"/>
        <d v="2018-08-07T00:00:00"/>
        <d v="2018-08-08T00:00:00"/>
        <d v="2018-08-09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6T00:00:00"/>
        <d v="2018-08-28T00:00:00"/>
        <d v="2018-08-29T00:00:00"/>
        <d v="2018-08-30T00:00:00"/>
        <d v="2018-08-31T00:00:00"/>
        <d v="2018-09-02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6T00:00:00"/>
        <d v="2018-09-17T00:00:00"/>
        <d v="2018-09-18T00:00:00"/>
        <d v="2018-09-19T00:00:00"/>
        <d v="2018-09-20T00:00:00"/>
        <d v="2018-09-22T00:00:00"/>
        <d v="2018-09-23T00:00:00"/>
        <d v="2018-09-25T00:00:00"/>
        <d v="2018-09-28T00:00:00"/>
        <d v="2018-09-29T00:00:00"/>
        <d v="2018-10-01T00:00:00"/>
        <d v="2018-10-02T00:00:00"/>
        <d v="2018-10-03T00:00:00"/>
        <d v="2018-10-04T00:00:00"/>
        <d v="2018-10-05T00:00:00"/>
        <d v="2018-10-07T00:00:00"/>
        <d v="2018-10-08T00:00:00"/>
        <d v="2018-10-09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1T00:00:00"/>
        <d v="2018-10-22T00:00:00"/>
        <d v="2018-10-23T00:00:00"/>
        <d v="2018-10-24T00:00:00"/>
        <d v="2018-10-25T00:00:00"/>
        <d v="2018-10-28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0T00:00:00"/>
        <d v="2018-11-13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7T00:00:00"/>
        <d v="2018-12-09T00:00:00"/>
        <d v="2018-12-10T00:00:00"/>
        <d v="2018-12-11T00:00:00"/>
        <d v="2018-12-13T00:00:00"/>
        <d v="2018-12-14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8T00:00:00"/>
        <d v="2018-12-29T00:00:00"/>
        <d v="2018-12-30T00:00:00"/>
        <d v="2018-12-31T00:00:00"/>
        <d v="2019-01-01T00:00:00"/>
        <d v="2019-01-02T00:00:00"/>
        <d v="2019-01-04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5T00:00:00"/>
        <d v="2019-01-16T00:00:00"/>
        <d v="2019-01-17T00:00:00"/>
        <d v="2019-01-18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2-01T00:00:00"/>
        <d v="2019-02-02T00:00:00"/>
        <d v="2019-02-04T00:00:00"/>
        <d v="2019-02-05T00:00:00"/>
        <d v="2019-02-06T00:00:00"/>
        <d v="2019-02-07T00:00:00"/>
        <d v="2019-02-08T00:00:00"/>
        <d v="2019-02-10T00:00:00"/>
        <d v="2019-02-11T00:00:00"/>
        <d v="2019-02-13T00:00:00"/>
        <d v="2019-02-14T00:00:00"/>
        <d v="2019-02-16T00:00:00"/>
        <d v="2019-02-18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2T00:00:00"/>
        <d v="2019-03-13T00:00:00"/>
        <d v="2019-03-14T00:00:00"/>
        <d v="2019-03-15T00:00:00"/>
        <d v="2019-03-16T00:00:00"/>
        <d v="2019-03-18T00:00:00"/>
        <d v="2019-03-19T00:00:00"/>
        <d v="2019-03-20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5T00:00:00"/>
        <d v="2019-04-06T00:00:00"/>
        <d v="2019-04-07T00:00:00"/>
        <d v="2019-04-08T00:00:00"/>
        <d v="2019-04-10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30T00:00:00"/>
        <d v="2019-05-01T00:00:00"/>
        <d v="2019-05-02T00:00:00"/>
        <d v="2019-05-03T00:00:00"/>
        <d v="2019-05-04T00:00:00"/>
        <d v="2019-05-05T00:00:00"/>
        <d v="2019-05-07T00:00:00"/>
        <d v="2019-05-11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5T00:00:00"/>
        <d v="2019-05-26T00:00:00"/>
        <d v="2019-05-27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7T00:00:00"/>
        <d v="2019-06-09T00:00:00"/>
        <d v="2019-06-10T00:00:00"/>
        <d v="2019-06-12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9T00:00:00"/>
        <d v="2019-06-30T00:00:00"/>
        <d v="2019-07-02T00:00:00"/>
        <d v="2019-07-04T00:00:00"/>
        <d v="2019-07-05T00:00:00"/>
        <d v="2019-07-07T00:00:00"/>
        <d v="2019-07-08T00:00:00"/>
        <d v="2019-07-09T00:00:00"/>
        <d v="2019-07-10T00:00:00"/>
        <d v="2019-07-11T00:00:00"/>
        <d v="2019-07-13T00:00:00"/>
        <d v="2019-07-14T00:00:00"/>
        <d v="2019-07-15T00:00:00"/>
        <d v="2019-07-17T00:00:00"/>
        <d v="2019-07-19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1T00:00:00"/>
        <d v="2019-08-01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4T00:00:00"/>
        <d v="2019-08-18T00:00:00"/>
        <d v="2019-08-19T00:00:00"/>
        <d v="2019-08-20T00:00:00"/>
        <d v="2019-08-21T00:00:00"/>
        <d v="2019-08-24T00:00:00"/>
        <d v="2019-08-25T00:00:00"/>
        <d v="2019-08-26T00:00:00"/>
        <d v="2019-08-28T00:00:00"/>
        <d v="2019-08-30T00:00:00"/>
        <d v="2019-08-31T00:00:00"/>
        <d v="2019-09-01T00:00:00"/>
        <d v="2019-09-02T00:00:00"/>
        <d v="2019-09-03T00:00:00"/>
        <d v="2019-09-04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18T00:00:00"/>
        <d v="2019-09-19T00:00:00"/>
        <d v="2019-09-20T00:00:00"/>
        <d v="2019-09-21T00:00:00"/>
        <d v="2019-09-24T00:00:00"/>
        <d v="2019-09-25T00:00:00"/>
        <d v="2019-09-26T00:00:00"/>
        <d v="2019-09-28T00:00:00"/>
        <d v="2019-09-29T00:00:00"/>
        <d v="2019-09-30T00:00:00"/>
        <d v="2019-10-01T00:00:00"/>
        <d v="2019-10-02T00:00:00"/>
        <d v="2019-10-03T00:00:00"/>
        <d v="2019-10-05T00:00:00"/>
        <d v="2019-10-06T00:00:00"/>
        <d v="2019-10-07T00:00:00"/>
        <d v="2019-10-08T00:00:00"/>
        <d v="2019-10-09T00:00:00"/>
        <d v="2019-10-12T00:00:00"/>
        <d v="2019-10-14T00:00:00"/>
        <d v="2019-10-15T00:00:00"/>
        <d v="2019-10-16T00:00:00"/>
        <d v="2019-10-17T00:00:00"/>
        <d v="2019-10-18T00:00:00"/>
        <d v="2019-10-19T00:00:00"/>
        <d v="2019-10-22T00:00:00"/>
        <d v="2019-10-23T00:00:00"/>
        <d v="2019-10-25T00:00:00"/>
        <d v="2019-10-27T00:00:00"/>
        <d v="2019-10-30T00:00:00"/>
        <d v="2019-10-31T00:00:00"/>
        <d v="2019-11-01T00:00:00"/>
        <d v="2019-11-02T00:00:00"/>
        <d v="2019-11-03T00:00:00"/>
        <d v="2019-11-05T00:00:00"/>
        <d v="2019-11-06T00:00:00"/>
        <d v="2019-11-08T00:00:00"/>
        <d v="2019-11-09T00:00:00"/>
        <d v="2019-11-10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6T00:00:00"/>
        <d v="2019-11-27T00:00:00"/>
        <d v="2019-11-28T00:00:00"/>
        <d v="2019-11-29T00:00:00"/>
        <d v="2019-11-30T00:00:00"/>
        <d v="2019-12-02T00:00:00"/>
        <d v="2019-12-03T00:00:00"/>
        <d v="2019-12-04T00:00:00"/>
        <d v="2019-12-05T00:00:00"/>
        <d v="2019-12-06T00:00:00"/>
        <d v="2019-12-07T00:00:00"/>
        <d v="2019-12-09T00:00:00"/>
        <d v="2019-12-10T00:00:00"/>
        <d v="2019-12-11T00:00:00"/>
        <d v="2019-12-14T00:00:00"/>
        <d v="2019-12-15T00:00:00"/>
        <d v="2019-12-16T00:00:00"/>
        <d v="2019-12-17T00:00:00"/>
        <d v="2019-12-18T00:00:00"/>
        <d v="2019-12-19T00:00:00"/>
        <d v="2019-12-21T00:00:00"/>
        <d v="2019-12-22T00:00:00"/>
        <d v="2019-12-23T00:00:00"/>
        <d v="2019-12-25T00:00:00"/>
        <d v="2019-12-29T00:00:00"/>
        <d v="2019-12-30T00:00:00"/>
        <d v="2020-01-02T00:00:00"/>
        <d v="2020-01-03T00:00:00"/>
        <d v="2020-01-04T00:00:00"/>
        <d v="2020-01-06T00:00:00"/>
        <d v="2020-01-07T00:00:00"/>
        <d v="2020-01-08T00:00:00"/>
        <d v="2020-01-09T00:00:00"/>
        <d v="2020-01-10T00:00:00"/>
        <d v="2020-01-12T00:00:00"/>
        <d v="2020-01-13T00:00:00"/>
        <d v="2020-01-15T00:00:00"/>
        <d v="2020-01-16T00:00:00"/>
        <d v="2020-01-17T00:00:00"/>
        <d v="2020-01-19T00:00:00"/>
        <d v="2020-01-20T00:00:00"/>
        <d v="2020-01-23T00:00:00"/>
        <d v="2020-01-24T00:00:00"/>
        <d v="2020-01-26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5T00:00:00"/>
        <d v="2020-02-07T00:00:00"/>
        <d v="2020-02-09T00:00:00"/>
        <d v="2020-02-10T00:00:00"/>
        <d v="2020-02-11T00:00:00"/>
        <d v="2020-02-13T00:00:00"/>
        <d v="2020-02-14T00:00:00"/>
        <d v="2020-02-15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7T00:00:00"/>
        <d v="2020-02-29T00:00:00"/>
        <d v="2020-03-02T00:00:00"/>
        <d v="2020-03-03T00:00:00"/>
        <d v="2020-03-04T00:00:00"/>
        <d v="2020-03-05T00:00:00"/>
        <d v="2020-03-07T00:00:00"/>
        <d v="2020-03-08T00:00:00"/>
        <d v="2020-03-09T00:00:00"/>
        <d v="2020-03-10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30T00:00:00"/>
        <d v="2020-03-31T00:00:00"/>
        <d v="2020-04-01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9T00:00:00"/>
        <d v="2020-04-20T00:00:00"/>
        <d v="2020-04-21T00:00:00"/>
        <d v="2020-04-22T00:00:00"/>
        <d v="2020-04-23T00:00:00"/>
        <d v="2020-04-24T00:00:00"/>
        <d v="2020-04-26T00:00:00"/>
        <d v="2020-04-27T00:00:00"/>
        <d v="2020-04-28T00:00:00"/>
        <d v="2020-04-30T00:00:00"/>
        <d v="2020-05-01T00:00:00"/>
        <d v="2020-05-02T00:00:00"/>
        <d v="2020-05-03T00:00:00"/>
        <d v="2020-05-04T00:00:00"/>
        <d v="2020-05-05T00:00:00"/>
        <d v="2020-05-07T00:00:00"/>
        <d v="2020-05-09T00:00:00"/>
        <d v="2020-05-11T00:00:00"/>
        <d v="2020-05-13T00:00:00"/>
        <d v="2020-05-14T00:00:00"/>
        <d v="2020-05-16T00:00:00"/>
        <d v="2020-05-17T00:00:00"/>
        <d v="2020-05-19T00:00:00"/>
        <d v="2020-05-20T00:00:00"/>
        <d v="2020-05-23T00:00:00"/>
        <d v="2020-05-24T00:00:00"/>
        <d v="2020-05-25T00:00:00"/>
        <d v="2020-05-26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7T00:00:00"/>
        <d v="2020-06-08T00:00:00"/>
        <d v="2020-06-09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30T00:00:00"/>
        <d v="2020-07-02T00:00:00"/>
        <d v="2020-07-03T00:00:00"/>
        <d v="2020-07-04T00:00:00"/>
        <d v="2020-07-05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8T00:00:00"/>
        <d v="2020-07-20T00:00:00"/>
        <d v="2020-07-21T00:00:00"/>
        <d v="2020-07-23T00:00:00"/>
        <d v="2020-07-24T00:00:00"/>
        <d v="2020-07-25T00:00:00"/>
        <d v="2020-07-26T00:00:00"/>
        <d v="2020-07-27T00:00:00"/>
        <d v="2020-07-28T00:00:00"/>
        <d v="2020-07-30T00:00:00"/>
        <d v="2020-07-31T00:00:00"/>
      </sharedItems>
      <fieldGroup par="9" base="0">
        <rangePr groupBy="months" startDate="2018-01-01T00:00:00" endDate="2020-08-01T00:00:00"/>
        <groupItems count="14">
          <s v="&lt;01/01/2018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8/2020"/>
        </groupItems>
      </fieldGroup>
    </cacheField>
    <cacheField name="País" numFmtId="0">
      <sharedItems count="5">
        <s v="España"/>
        <s v="México"/>
        <s v="Argentina"/>
        <s v="Colombia"/>
        <s v="Perú"/>
      </sharedItems>
    </cacheField>
    <cacheField name="Marca" numFmtId="0">
      <sharedItems count="6">
        <s v="Water"/>
        <s v="Excelfreack"/>
        <s v="Lastra"/>
        <s v="Bipower"/>
        <s v="Deck"/>
        <s v="Watermelon" u="1"/>
      </sharedItems>
    </cacheField>
    <cacheField name="Canal" numFmtId="0">
      <sharedItems count="5">
        <s v="Eccomerce"/>
        <s v="Fisico"/>
        <s v="Local"/>
        <s v="Varios"/>
        <s v="Servicio online"/>
      </sharedItems>
    </cacheField>
    <cacheField name="Ingresos" numFmtId="166">
      <sharedItems containsSemiMixedTypes="0" containsString="0" containsNumber="1" minValue="422.58089999999999" maxValue="1464942.0240000002"/>
    </cacheField>
    <cacheField name="Gastos" numFmtId="166">
      <sharedItems containsSemiMixedTypes="0" containsString="0" containsNumber="1" minValue="339.15" maxValue="1341522"/>
    </cacheField>
    <cacheField name="Beneficio" numFmtId="166">
      <sharedItems containsSemiMixedTypes="0" containsString="0" containsNumber="1" minValue="83.430900000000008" maxValue="324831.87099999993"/>
    </cacheField>
    <cacheField name="Margen" numFmtId="9">
      <sharedItems containsSemiMixedTypes="0" containsString="0" containsNumber="1" minValue="1.9607843137254836E-2" maxValue="0.56666666666666676"/>
    </cacheField>
    <cacheField name="Trimestres" numFmtId="0" databaseField="0">
      <fieldGroup base="0">
        <rangePr groupBy="quarters" startDate="2018-01-01T00:00:00" endDate="2020-08-01T00:00:00"/>
        <groupItems count="6">
          <s v="&lt;01/01/2018"/>
          <s v="Trim.1"/>
          <s v="Trim.2"/>
          <s v="Trim.3"/>
          <s v="Trim.4"/>
          <s v="&gt;01/08/2020"/>
        </groupItems>
      </fieldGroup>
    </cacheField>
    <cacheField name="Años" numFmtId="0" databaseField="0">
      <fieldGroup base="0">
        <rangePr groupBy="years" startDate="2018-01-01T00:00:00" endDate="2020-08-01T00:00:00"/>
        <groupItems count="5">
          <s v="&lt;01/01/2018"/>
          <s v="2018"/>
          <s v="2019"/>
          <s v="2020"/>
          <s v="&gt;01/08/2020"/>
        </groupItems>
      </fieldGroup>
    </cacheField>
    <cacheField name="Margen OK" numFmtId="0" formula="Beneficio/Ingresos" databaseField="0"/>
  </cacheFields>
  <extLst>
    <ext xmlns:x14="http://schemas.microsoft.com/office/spreadsheetml/2009/9/main" uri="{725AE2AE-9491-48be-B2B4-4EB974FC3084}">
      <x14:pivotCacheDefinition pivotCacheId="263932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x v="0"/>
    <x v="0"/>
    <x v="0"/>
    <x v="0"/>
    <n v="1614.816"/>
    <n v="1209.5999999999999"/>
    <n v="405.21600000000012"/>
    <n v="0.25093632958801504"/>
  </r>
  <r>
    <x v="0"/>
    <x v="0"/>
    <x v="1"/>
    <x v="1"/>
    <n v="11765.25"/>
    <n v="5098.2749999999996"/>
    <n v="6666.9750000000004"/>
    <n v="0.56666666666666665"/>
  </r>
  <r>
    <x v="0"/>
    <x v="0"/>
    <x v="2"/>
    <x v="2"/>
    <n v="40583.310768000003"/>
    <n v="30195.915749999996"/>
    <n v="10387.395018000007"/>
    <n v="0.2559523809523811"/>
  </r>
  <r>
    <x v="0"/>
    <x v="1"/>
    <x v="3"/>
    <x v="3"/>
    <n v="46216.17"/>
    <n v="38902.5"/>
    <n v="7313.6699999999983"/>
    <n v="0.15824915824915822"/>
  </r>
  <r>
    <x v="0"/>
    <x v="2"/>
    <x v="3"/>
    <x v="2"/>
    <n v="6970.2065999999995"/>
    <n v="5389.335"/>
    <n v="1580.8715999999995"/>
    <n v="0.22680412371134015"/>
  </r>
  <r>
    <x v="1"/>
    <x v="1"/>
    <x v="2"/>
    <x v="4"/>
    <n v="209607.3"/>
    <n v="158886"/>
    <n v="50721.299999999988"/>
    <n v="0.24198250728862969"/>
  </r>
  <r>
    <x v="1"/>
    <x v="3"/>
    <x v="1"/>
    <x v="3"/>
    <n v="233700.38999999998"/>
    <n v="196717.5"/>
    <n v="36982.889999999985"/>
    <n v="0.15824915824915819"/>
  </r>
  <r>
    <x v="2"/>
    <x v="4"/>
    <x v="0"/>
    <x v="4"/>
    <n v="15766.38"/>
    <n v="8126.9999999999991"/>
    <n v="7639.38"/>
    <n v="0.48453608247422686"/>
  </r>
  <r>
    <x v="2"/>
    <x v="2"/>
    <x v="2"/>
    <x v="4"/>
    <n v="43994.059199999996"/>
    <n v="23652.719999999998"/>
    <n v="20341.339199999999"/>
    <n v="0.4623655913978495"/>
  </r>
  <r>
    <x v="3"/>
    <x v="3"/>
    <x v="4"/>
    <x v="1"/>
    <n v="67863.357692307691"/>
    <n v="62735.903999999995"/>
    <n v="5127.4536923076957"/>
    <n v="7.5555555555555612E-2"/>
  </r>
  <r>
    <x v="3"/>
    <x v="2"/>
    <x v="0"/>
    <x v="2"/>
    <n v="8233.0668000000005"/>
    <n v="6639.57"/>
    <n v="1593.4968000000008"/>
    <n v="0.19354838709677427"/>
  </r>
  <r>
    <x v="4"/>
    <x v="1"/>
    <x v="1"/>
    <x v="1"/>
    <n v="87235.3125"/>
    <n v="79758"/>
    <n v="7477.3125"/>
    <n v="8.5714285714285715E-2"/>
  </r>
  <r>
    <x v="4"/>
    <x v="1"/>
    <x v="1"/>
    <x v="2"/>
    <n v="1606.5"/>
    <n v="1417.5"/>
    <n v="189"/>
    <n v="0.11764705882352941"/>
  </r>
  <r>
    <x v="5"/>
    <x v="4"/>
    <x v="2"/>
    <x v="1"/>
    <n v="75182.927884615376"/>
    <n v="64486.799999999996"/>
    <n v="10696.12788461538"/>
    <n v="0.14226804123711337"/>
  </r>
  <r>
    <x v="6"/>
    <x v="1"/>
    <x v="3"/>
    <x v="3"/>
    <n v="146505.25889999999"/>
    <n v="123320.92499999999"/>
    <n v="23184.333899999998"/>
    <n v="0.15824915824915825"/>
  </r>
  <r>
    <x v="7"/>
    <x v="1"/>
    <x v="0"/>
    <x v="1"/>
    <n v="110222.4375"/>
    <n v="106633.79999999999"/>
    <n v="3588.6375000000116"/>
    <n v="3.2558139534883825E-2"/>
  </r>
  <r>
    <x v="7"/>
    <x v="2"/>
    <x v="1"/>
    <x v="4"/>
    <n v="5809.7339999999986"/>
    <n v="2964.1499999999996"/>
    <n v="2845.5839999999989"/>
    <n v="0.48979591836734687"/>
  </r>
  <r>
    <x v="8"/>
    <x v="3"/>
    <x v="0"/>
    <x v="1"/>
    <n v="298675.15528846148"/>
    <n v="276108.58799999999"/>
    <n v="22566.567288461491"/>
    <n v="7.5555555555555404E-2"/>
  </r>
  <r>
    <x v="8"/>
    <x v="2"/>
    <x v="1"/>
    <x v="3"/>
    <n v="659369.51639999996"/>
    <n v="590832.89999999991"/>
    <n v="68536.616400000057"/>
    <n v="0.1039426523297492"/>
  </r>
  <r>
    <x v="9"/>
    <x v="2"/>
    <x v="3"/>
    <x v="1"/>
    <n v="13804.26923076923"/>
    <n v="5981.8499999999995"/>
    <n v="7822.419230769231"/>
    <n v="0.56666666666666665"/>
  </r>
  <r>
    <x v="10"/>
    <x v="1"/>
    <x v="1"/>
    <x v="0"/>
    <n v="39447.135000000002"/>
    <n v="26298.09"/>
    <n v="13149.045000000002"/>
    <n v="0.33333333333333337"/>
  </r>
  <r>
    <x v="10"/>
    <x v="4"/>
    <x v="0"/>
    <x v="4"/>
    <n v="9320.9759999999987"/>
    <n v="4660.4879999999994"/>
    <n v="4660.4879999999994"/>
    <n v="0.5"/>
  </r>
  <r>
    <x v="11"/>
    <x v="1"/>
    <x v="3"/>
    <x v="2"/>
    <n v="24026.203152000006"/>
    <n v="18576.961199999998"/>
    <n v="5449.2419520000076"/>
    <n v="0.22680412371134048"/>
  </r>
  <r>
    <x v="12"/>
    <x v="0"/>
    <x v="2"/>
    <x v="4"/>
    <n v="10264.220977500001"/>
    <n v="7883.4262499999995"/>
    <n v="2380.7947275000015"/>
    <n v="0.23195084485407078"/>
  </r>
  <r>
    <x v="13"/>
    <x v="0"/>
    <x v="3"/>
    <x v="1"/>
    <n v="39670.918269230766"/>
    <n v="33679.799999999996"/>
    <n v="5991.1182692307702"/>
    <n v="0.15102040816326534"/>
  </r>
  <r>
    <x v="13"/>
    <x v="2"/>
    <x v="4"/>
    <x v="3"/>
    <n v="113857.37999999999"/>
    <n v="104265"/>
    <n v="9592.3799999999901"/>
    <n v="8.4249084249084172E-2"/>
  </r>
  <r>
    <x v="14"/>
    <x v="3"/>
    <x v="0"/>
    <x v="0"/>
    <n v="10594.583999999999"/>
    <n v="8026.2"/>
    <n v="2568.3839999999991"/>
    <n v="0.24242424242424238"/>
  </r>
  <r>
    <x v="15"/>
    <x v="3"/>
    <x v="4"/>
    <x v="2"/>
    <n v="13172.079060000002"/>
    <n v="11622.422700000001"/>
    <n v="1549.6563600000009"/>
    <n v="0.11764705882352947"/>
  </r>
  <r>
    <x v="16"/>
    <x v="4"/>
    <x v="3"/>
    <x v="0"/>
    <n v="17370.612000000001"/>
    <n v="11580.408000000001"/>
    <n v="5790.2039999999997"/>
    <n v="0.33333333333333331"/>
  </r>
  <r>
    <x v="16"/>
    <x v="4"/>
    <x v="2"/>
    <x v="1"/>
    <n v="192471.05769230769"/>
    <n v="123914.7"/>
    <n v="68556.357692307691"/>
    <n v="0.35619047619047617"/>
  </r>
  <r>
    <x v="16"/>
    <x v="0"/>
    <x v="0"/>
    <x v="2"/>
    <n v="51667.890309000002"/>
    <n v="41667.653474999992"/>
    <n v="10000.23683400001"/>
    <n v="0.19354838709677438"/>
  </r>
  <r>
    <x v="17"/>
    <x v="4"/>
    <x v="1"/>
    <x v="1"/>
    <n v="95113.682091346156"/>
    <n v="93099.510000000009"/>
    <n v="2014.1720913461468"/>
    <n v="2.117647058823522E-2"/>
  </r>
  <r>
    <x v="17"/>
    <x v="4"/>
    <x v="1"/>
    <x v="2"/>
    <n v="6105.6449999999995"/>
    <n v="5032.125"/>
    <n v="1073.5199999999995"/>
    <n v="0.17582417582417575"/>
  </r>
  <r>
    <x v="18"/>
    <x v="4"/>
    <x v="2"/>
    <x v="0"/>
    <n v="4257.0501749999994"/>
    <n v="3153.3705"/>
    <n v="1103.6796749999994"/>
    <n v="0.25925925925925913"/>
  </r>
  <r>
    <x v="19"/>
    <x v="1"/>
    <x v="3"/>
    <x v="2"/>
    <n v="1348.3259999999998"/>
    <n v="1162.3499999999999"/>
    <n v="185.97599999999989"/>
    <n v="0.13793103448275856"/>
  </r>
  <r>
    <x v="20"/>
    <x v="1"/>
    <x v="4"/>
    <x v="4"/>
    <n v="19310.451929999999"/>
    <n v="10848.568500000001"/>
    <n v="8461.883429999998"/>
    <n v="0.43820224719101114"/>
  </r>
  <r>
    <x v="20"/>
    <x v="3"/>
    <x v="2"/>
    <x v="2"/>
    <n v="16835.132664000001"/>
    <n v="13432.286699999999"/>
    <n v="3402.8459640000019"/>
    <n v="0.20212765957446818"/>
  </r>
  <r>
    <x v="20"/>
    <x v="1"/>
    <x v="1"/>
    <x v="2"/>
    <n v="14724.604440000001"/>
    <n v="11874.681"/>
    <n v="2849.9234400000005"/>
    <n v="0.19354838709677422"/>
  </r>
  <r>
    <x v="21"/>
    <x v="3"/>
    <x v="3"/>
    <x v="3"/>
    <n v="206756.55"/>
    <n v="202702.5"/>
    <n v="4054.0499999999884"/>
    <n v="1.9607843137254846E-2"/>
  </r>
  <r>
    <x v="22"/>
    <x v="3"/>
    <x v="0"/>
    <x v="4"/>
    <n v="32297.023079999995"/>
    <n v="18777.339"/>
    <n v="13519.684079999995"/>
    <n v="0.41860465116279061"/>
  </r>
  <r>
    <x v="23"/>
    <x v="4"/>
    <x v="1"/>
    <x v="4"/>
    <n v="140394.44475"/>
    <n v="119877.02999999998"/>
    <n v="20517.414750000011"/>
    <n v="0.14614121510673242"/>
  </r>
  <r>
    <x v="23"/>
    <x v="1"/>
    <x v="1"/>
    <x v="4"/>
    <n v="41499.875340000006"/>
    <n v="24127.834499999997"/>
    <n v="17372.040840000009"/>
    <n v="0.41860465116279083"/>
  </r>
  <r>
    <x v="24"/>
    <x v="0"/>
    <x v="4"/>
    <x v="4"/>
    <n v="252454.86"/>
    <n v="215560.8"/>
    <n v="36894.06"/>
    <n v="0.14614121510673234"/>
  </r>
  <r>
    <x v="24"/>
    <x v="2"/>
    <x v="2"/>
    <x v="3"/>
    <n v="191677.18499999997"/>
    <n v="171753.75"/>
    <n v="19923.434999999969"/>
    <n v="0.10394265232974896"/>
  </r>
  <r>
    <x v="25"/>
    <x v="3"/>
    <x v="0"/>
    <x v="1"/>
    <n v="108898.67423076923"/>
    <n v="105353.136"/>
    <n v="3545.5382307692344"/>
    <n v="3.2558139534883755E-2"/>
  </r>
  <r>
    <x v="25"/>
    <x v="0"/>
    <x v="0"/>
    <x v="4"/>
    <n v="974475.75959999987"/>
    <n v="832064.68799999997"/>
    <n v="142411.07159999991"/>
    <n v="0.14614121510673228"/>
  </r>
  <r>
    <x v="26"/>
    <x v="3"/>
    <x v="2"/>
    <x v="0"/>
    <n v="5898.9262499999995"/>
    <n v="3932.6175000000003"/>
    <n v="1966.3087499999992"/>
    <n v="0.3333333333333332"/>
  </r>
  <r>
    <x v="26"/>
    <x v="3"/>
    <x v="0"/>
    <x v="0"/>
    <n v="34822.574324999994"/>
    <n v="26683.965"/>
    <n v="8138.609324999994"/>
    <n v="0.2337164750957853"/>
  </r>
  <r>
    <x v="26"/>
    <x v="4"/>
    <x v="4"/>
    <x v="0"/>
    <n v="25330.071060000002"/>
    <n v="19635.714"/>
    <n v="5694.3570600000021"/>
    <n v="0.22480620155038766"/>
  </r>
  <r>
    <x v="26"/>
    <x v="0"/>
    <x v="0"/>
    <x v="4"/>
    <n v="23530.405500000001"/>
    <n v="12129.074999999999"/>
    <n v="11401.330500000002"/>
    <n v="0.48453608247422686"/>
  </r>
  <r>
    <x v="26"/>
    <x v="2"/>
    <x v="2"/>
    <x v="4"/>
    <n v="5171.8715999999995"/>
    <n v="4246.2"/>
    <n v="925.67159999999967"/>
    <n v="0.17898193760262721"/>
  </r>
  <r>
    <x v="27"/>
    <x v="2"/>
    <x v="1"/>
    <x v="4"/>
    <n v="2907.9981000000002"/>
    <n v="2209.7249999999999"/>
    <n v="698.27310000000034"/>
    <n v="0.24012158054711255"/>
  </r>
  <r>
    <x v="27"/>
    <x v="3"/>
    <x v="4"/>
    <x v="4"/>
    <n v="287456.34645000001"/>
    <n v="234658.24200000003"/>
    <n v="52798.104449999984"/>
    <n v="0.18367346938775503"/>
  </r>
  <r>
    <x v="28"/>
    <x v="4"/>
    <x v="3"/>
    <x v="1"/>
    <n v="34674.230769230766"/>
    <n v="30050.999999999996"/>
    <n v="4623.2307692307695"/>
    <n v="0.13333333333333336"/>
  </r>
  <r>
    <x v="28"/>
    <x v="3"/>
    <x v="3"/>
    <x v="2"/>
    <n v="5021.4087"/>
    <n v="3882.5324999999998"/>
    <n v="1138.8762000000002"/>
    <n v="0.22680412371134023"/>
  </r>
  <r>
    <x v="29"/>
    <x v="3"/>
    <x v="3"/>
    <x v="4"/>
    <n v="28644.6888"/>
    <n v="15076.152"/>
    <n v="13568.5368"/>
    <n v="0.47368421052631576"/>
  </r>
  <r>
    <x v="29"/>
    <x v="4"/>
    <x v="0"/>
    <x v="4"/>
    <n v="209736.95399999997"/>
    <n v="169352.82"/>
    <n v="40384.133999999962"/>
    <n v="0.19254658385093151"/>
  </r>
  <r>
    <x v="30"/>
    <x v="0"/>
    <x v="1"/>
    <x v="0"/>
    <n v="20946.491999999998"/>
    <n v="13964.328"/>
    <n v="6982.1639999999989"/>
    <n v="0.33333333333333331"/>
  </r>
  <r>
    <x v="31"/>
    <x v="0"/>
    <x v="0"/>
    <x v="1"/>
    <n v="108184.76307692307"/>
    <n v="102283.77600000001"/>
    <n v="5900.987076923062"/>
    <n v="5.4545454545454411E-2"/>
  </r>
  <r>
    <x v="31"/>
    <x v="3"/>
    <x v="0"/>
    <x v="4"/>
    <n v="365148"/>
    <n v="282555"/>
    <n v="82593"/>
    <n v="0.22619047619047619"/>
  </r>
  <r>
    <x v="31"/>
    <x v="2"/>
    <x v="3"/>
    <x v="4"/>
    <n v="216187.39485000001"/>
    <n v="174561.25049999999"/>
    <n v="41626.144350000017"/>
    <n v="0.19254658385093174"/>
  </r>
  <r>
    <x v="31"/>
    <x v="1"/>
    <x v="3"/>
    <x v="3"/>
    <n v="214170.07499999998"/>
    <n v="205143.75"/>
    <n v="9026.3249999999825"/>
    <n v="4.2145593869731719E-2"/>
  </r>
  <r>
    <x v="31"/>
    <x v="0"/>
    <x v="3"/>
    <x v="2"/>
    <n v="8729.7209999999995"/>
    <n v="6891.8850000000002"/>
    <n v="1837.8359999999993"/>
    <n v="0.21052631578947362"/>
  </r>
  <r>
    <x v="32"/>
    <x v="2"/>
    <x v="2"/>
    <x v="0"/>
    <n v="14953.778043749999"/>
    <n v="11458.83375"/>
    <n v="3494.9442937499989"/>
    <n v="0.23371647509578539"/>
  </r>
  <r>
    <x v="32"/>
    <x v="1"/>
    <x v="0"/>
    <x v="2"/>
    <n v="4216.3480799999998"/>
    <n v="3226.797"/>
    <n v="989.55107999999973"/>
    <n v="0.23469387755102036"/>
  </r>
  <r>
    <x v="33"/>
    <x v="4"/>
    <x v="0"/>
    <x v="4"/>
    <n v="7917.3360000000002"/>
    <n v="4302.8999999999996"/>
    <n v="3614.4360000000006"/>
    <n v="0.45652173913043487"/>
  </r>
  <r>
    <x v="34"/>
    <x v="3"/>
    <x v="3"/>
    <x v="0"/>
    <n v="5114.3399999999992"/>
    <n v="3409.56"/>
    <n v="1704.7799999999993"/>
    <n v="0.33333333333333326"/>
  </r>
  <r>
    <x v="34"/>
    <x v="4"/>
    <x v="0"/>
    <x v="4"/>
    <n v="419344.69499999995"/>
    <n v="346125.77999999997"/>
    <n v="73218.914999999979"/>
    <n v="0.17460317460317457"/>
  </r>
  <r>
    <x v="35"/>
    <x v="1"/>
    <x v="0"/>
    <x v="0"/>
    <n v="10356.538499999999"/>
    <n v="6974.0999999999995"/>
    <n v="3382.4384999999993"/>
    <n v="0.32659932659932656"/>
  </r>
  <r>
    <x v="35"/>
    <x v="2"/>
    <x v="2"/>
    <x v="2"/>
    <n v="7684.5131999999994"/>
    <n v="6333.39"/>
    <n v="1351.1231999999991"/>
    <n v="0.17582417582417573"/>
  </r>
  <r>
    <x v="36"/>
    <x v="2"/>
    <x v="4"/>
    <x v="1"/>
    <n v="255716.99999999997"/>
    <n v="212756.54399999997"/>
    <n v="42960.456000000006"/>
    <n v="0.16800000000000004"/>
  </r>
  <r>
    <x v="36"/>
    <x v="2"/>
    <x v="4"/>
    <x v="3"/>
    <n v="101347.69680000002"/>
    <n v="91800.45"/>
    <n v="9547.2468000000226"/>
    <n v="9.4202898550724848E-2"/>
  </r>
  <r>
    <x v="37"/>
    <x v="2"/>
    <x v="2"/>
    <x v="1"/>
    <n v="78442.26923076922"/>
    <n v="65923.199999999997"/>
    <n v="12519.069230769222"/>
    <n v="0.15959595959595951"/>
  </r>
  <r>
    <x v="37"/>
    <x v="3"/>
    <x v="0"/>
    <x v="4"/>
    <n v="5552.7408089999999"/>
    <n v="4558.9004999999997"/>
    <n v="993.84030900000016"/>
    <n v="0.17898193760262729"/>
  </r>
  <r>
    <x v="38"/>
    <x v="3"/>
    <x v="4"/>
    <x v="4"/>
    <n v="29837.46024"/>
    <n v="15223.193999999998"/>
    <n v="14614.266240000003"/>
    <n v="0.48979591836734704"/>
  </r>
  <r>
    <x v="38"/>
    <x v="2"/>
    <x v="2"/>
    <x v="2"/>
    <n v="8914.035312"/>
    <n v="7346.7323999999999"/>
    <n v="1567.3029120000001"/>
    <n v="0.17582417582417584"/>
  </r>
  <r>
    <x v="39"/>
    <x v="1"/>
    <x v="2"/>
    <x v="4"/>
    <n v="640.08459899999991"/>
    <n v="461.82150000000007"/>
    <n v="178.26309899999984"/>
    <n v="0.2784992784992783"/>
  </r>
  <r>
    <x v="39"/>
    <x v="2"/>
    <x v="2"/>
    <x v="4"/>
    <n v="18567.019044000001"/>
    <n v="15243.858"/>
    <n v="3323.1610440000004"/>
    <n v="0.17898193760262726"/>
  </r>
  <r>
    <x v="39"/>
    <x v="3"/>
    <x v="4"/>
    <x v="2"/>
    <n v="7443.2357999999995"/>
    <n v="5638.8149999999996"/>
    <n v="1804.4207999999999"/>
    <n v="0.24242424242424243"/>
  </r>
  <r>
    <x v="40"/>
    <x v="0"/>
    <x v="0"/>
    <x v="4"/>
    <n v="1063.554408"/>
    <n v="825.74099999999999"/>
    <n v="237.81340799999998"/>
    <n v="0.22360248447204967"/>
  </r>
  <r>
    <x v="40"/>
    <x v="2"/>
    <x v="2"/>
    <x v="4"/>
    <n v="40819.252319999992"/>
    <n v="23192.757000000001"/>
    <n v="17626.495319999991"/>
    <n v="0.43181818181818166"/>
  </r>
  <r>
    <x v="40"/>
    <x v="2"/>
    <x v="2"/>
    <x v="3"/>
    <n v="150864.26984999998"/>
    <n v="135183.03750000001"/>
    <n v="15681.232349999977"/>
    <n v="0.10394265232974896"/>
  </r>
  <r>
    <x v="41"/>
    <x v="4"/>
    <x v="0"/>
    <x v="0"/>
    <n v="1129.6529999999998"/>
    <n v="875.69999999999993"/>
    <n v="253.95299999999986"/>
    <n v="0.22480620155038752"/>
  </r>
  <r>
    <x v="41"/>
    <x v="1"/>
    <x v="3"/>
    <x v="4"/>
    <n v="33123.875399999997"/>
    <n v="19036.71"/>
    <n v="14087.165399999998"/>
    <n v="0.42528735632183906"/>
  </r>
  <r>
    <x v="41"/>
    <x v="1"/>
    <x v="1"/>
    <x v="3"/>
    <n v="65097.27"/>
    <n v="63078.749999999993"/>
    <n v="2018.5200000000041"/>
    <n v="3.1007751937984562E-2"/>
  </r>
  <r>
    <x v="41"/>
    <x v="2"/>
    <x v="0"/>
    <x v="2"/>
    <n v="43480.060469999997"/>
    <n v="32939.439750000005"/>
    <n v="10540.620719999992"/>
    <n v="0.24242424242424226"/>
  </r>
  <r>
    <x v="42"/>
    <x v="3"/>
    <x v="0"/>
    <x v="3"/>
    <n v="88967.024999999994"/>
    <n v="78041.25"/>
    <n v="10925.774999999994"/>
    <n v="0.12280701754385959"/>
  </r>
  <r>
    <x v="43"/>
    <x v="4"/>
    <x v="3"/>
    <x v="0"/>
    <n v="4939.0613999999996"/>
    <n v="3466.0080000000003"/>
    <n v="1473.0533999999993"/>
    <n v="0.29824561403508759"/>
  </r>
  <r>
    <x v="43"/>
    <x v="0"/>
    <x v="0"/>
    <x v="0"/>
    <n v="4376.1513599999998"/>
    <n v="3278.0160000000001"/>
    <n v="1098.1353599999998"/>
    <n v="0.25093632958801493"/>
  </r>
  <r>
    <x v="43"/>
    <x v="4"/>
    <x v="2"/>
    <x v="2"/>
    <n v="2866.5252"/>
    <n v="2171.61"/>
    <n v="694.91519999999991"/>
    <n v="0.2424242424242424"/>
  </r>
  <r>
    <x v="44"/>
    <x v="1"/>
    <x v="4"/>
    <x v="1"/>
    <n v="175937.37403846151"/>
    <n v="114414.29999999999"/>
    <n v="61523.07403846152"/>
    <n v="0.34968734968734966"/>
  </r>
  <r>
    <x v="45"/>
    <x v="3"/>
    <x v="1"/>
    <x v="4"/>
    <n v="5578.2089999999998"/>
    <n v="3064.95"/>
    <n v="2513.259"/>
    <n v="0.45054945054945056"/>
  </r>
  <r>
    <x v="46"/>
    <x v="0"/>
    <x v="0"/>
    <x v="3"/>
    <n v="267757.4718"/>
    <n v="239926.05"/>
    <n v="27831.421800000011"/>
    <n v="0.10394265232974914"/>
  </r>
  <r>
    <x v="46"/>
    <x v="3"/>
    <x v="4"/>
    <x v="2"/>
    <n v="3447.36"/>
    <n v="2585.52"/>
    <n v="861.84000000000015"/>
    <n v="0.25000000000000006"/>
  </r>
  <r>
    <x v="47"/>
    <x v="2"/>
    <x v="0"/>
    <x v="4"/>
    <n v="41619.815999999999"/>
    <n v="22138.199999999997"/>
    <n v="19481.616000000002"/>
    <n v="0.46808510638297879"/>
  </r>
  <r>
    <x v="48"/>
    <x v="0"/>
    <x v="0"/>
    <x v="4"/>
    <n v="403590.44407500001"/>
    <n v="329461.587"/>
    <n v="74128.857075000007"/>
    <n v="0.18367346938775511"/>
  </r>
  <r>
    <x v="49"/>
    <x v="1"/>
    <x v="2"/>
    <x v="1"/>
    <n v="29474.913461538461"/>
    <n v="25023.599999999999"/>
    <n v="4451.3134615384624"/>
    <n v="0.15102040816326534"/>
  </r>
  <r>
    <x v="50"/>
    <x v="0"/>
    <x v="0"/>
    <x v="0"/>
    <n v="15055.2675"/>
    <n v="11670.75"/>
    <n v="3384.5174999999999"/>
    <n v="0.22480620155038758"/>
  </r>
  <r>
    <x v="51"/>
    <x v="0"/>
    <x v="1"/>
    <x v="2"/>
    <n v="29244.328344000001"/>
    <n v="23333.240699999998"/>
    <n v="5911.0876440000029"/>
    <n v="0.20212765957446818"/>
  </r>
  <r>
    <x v="52"/>
    <x v="4"/>
    <x v="2"/>
    <x v="4"/>
    <n v="5288.6925000000001"/>
    <n v="4197.375"/>
    <n v="1091.3175000000001"/>
    <n v="0.20634920634920637"/>
  </r>
  <r>
    <x v="53"/>
    <x v="4"/>
    <x v="1"/>
    <x v="4"/>
    <n v="16467.53976"/>
    <n v="8853.5159999999996"/>
    <n v="7614.02376"/>
    <n v="0.4623655913978495"/>
  </r>
  <r>
    <x v="54"/>
    <x v="1"/>
    <x v="3"/>
    <x v="4"/>
    <n v="3104.9046000000003"/>
    <n v="2359.35"/>
    <n v="745.55460000000039"/>
    <n v="0.24012158054711258"/>
  </r>
  <r>
    <x v="55"/>
    <x v="1"/>
    <x v="2"/>
    <x v="0"/>
    <n v="12528.101250000002"/>
    <n v="8791.65"/>
    <n v="3736.4512500000019"/>
    <n v="0.29824561403508781"/>
  </r>
  <r>
    <x v="55"/>
    <x v="1"/>
    <x v="2"/>
    <x v="4"/>
    <n v="920176.04700000002"/>
    <n v="697509.54"/>
    <n v="222666.50699999998"/>
    <n v="0.24198250728862972"/>
  </r>
  <r>
    <x v="55"/>
    <x v="0"/>
    <x v="1"/>
    <x v="3"/>
    <n v="72167.759999999995"/>
    <n v="69930"/>
    <n v="2237.7599999999948"/>
    <n v="3.1007751937984426E-2"/>
  </r>
  <r>
    <x v="55"/>
    <x v="1"/>
    <x v="0"/>
    <x v="3"/>
    <n v="43857.45"/>
    <n v="42997.5"/>
    <n v="859.94999999999709"/>
    <n v="1.9607843137254836E-2"/>
  </r>
  <r>
    <x v="56"/>
    <x v="0"/>
    <x v="4"/>
    <x v="4"/>
    <n v="5305.0535999999993"/>
    <n v="4306.0499999999993"/>
    <n v="999.00360000000001"/>
    <n v="0.18831168831168835"/>
  </r>
  <r>
    <x v="57"/>
    <x v="0"/>
    <x v="4"/>
    <x v="1"/>
    <n v="15674.278846153844"/>
    <n v="13041"/>
    <n v="2633.2788461538439"/>
    <n v="0.16799999999999987"/>
  </r>
  <r>
    <x v="58"/>
    <x v="0"/>
    <x v="2"/>
    <x v="1"/>
    <n v="143286.12021634611"/>
    <n v="137027.64600000001"/>
    <n v="6258.4742163461051"/>
    <n v="4.3678160919539903E-2"/>
  </r>
  <r>
    <x v="59"/>
    <x v="0"/>
    <x v="3"/>
    <x v="4"/>
    <n v="222264"/>
    <n v="183456"/>
    <n v="38808"/>
    <n v="0.17460317460317459"/>
  </r>
  <r>
    <x v="60"/>
    <x v="4"/>
    <x v="0"/>
    <x v="1"/>
    <n v="34830.973557692305"/>
    <n v="30504.6"/>
    <n v="4326.3735576923063"/>
    <n v="0.12421052631578945"/>
  </r>
  <r>
    <x v="60"/>
    <x v="3"/>
    <x v="0"/>
    <x v="3"/>
    <n v="271777.27499999997"/>
    <n v="228768.75"/>
    <n v="43008.524999999965"/>
    <n v="0.15824915824915814"/>
  </r>
  <r>
    <x v="60"/>
    <x v="2"/>
    <x v="2"/>
    <x v="3"/>
    <n v="211839.13800000001"/>
    <n v="196147.34999999998"/>
    <n v="15691.78800000003"/>
    <n v="7.4074074074074209E-2"/>
  </r>
  <r>
    <x v="61"/>
    <x v="4"/>
    <x v="2"/>
    <x v="4"/>
    <n v="2188.7447399999996"/>
    <n v="1718.01"/>
    <n v="470.73473999999965"/>
    <n v="0.2150706436420721"/>
  </r>
  <r>
    <x v="62"/>
    <x v="3"/>
    <x v="2"/>
    <x v="1"/>
    <n v="140011.88149038461"/>
    <n v="123925.41"/>
    <n v="16086.471490384603"/>
    <n v="0.11489361702127651"/>
  </r>
  <r>
    <x v="63"/>
    <x v="2"/>
    <x v="2"/>
    <x v="1"/>
    <n v="615262.31080528849"/>
    <n v="527730.147"/>
    <n v="87532.163805288495"/>
    <n v="0.14226804123711345"/>
  </r>
  <r>
    <x v="64"/>
    <x v="3"/>
    <x v="0"/>
    <x v="0"/>
    <n v="2814.9659999999999"/>
    <n v="2132.5499999999997"/>
    <n v="682.41600000000017"/>
    <n v="0.24242424242424249"/>
  </r>
  <r>
    <x v="64"/>
    <x v="3"/>
    <x v="4"/>
    <x v="1"/>
    <n v="32699.271634615379"/>
    <n v="27480.6"/>
    <n v="5218.6716346153808"/>
    <n v="0.15959595959595951"/>
  </r>
  <r>
    <x v="64"/>
    <x v="2"/>
    <x v="2"/>
    <x v="2"/>
    <n v="24137.190000000002"/>
    <n v="21049.875"/>
    <n v="3087.3150000000023"/>
    <n v="0.12790697674418613"/>
  </r>
  <r>
    <x v="65"/>
    <x v="4"/>
    <x v="4"/>
    <x v="0"/>
    <n v="36281.694487499997"/>
    <n v="24935.872500000001"/>
    <n v="11345.821987499996"/>
    <n v="0.31271477663230229"/>
  </r>
  <r>
    <x v="65"/>
    <x v="0"/>
    <x v="4"/>
    <x v="4"/>
    <n v="60443.46"/>
    <n v="51023.7"/>
    <n v="9419.760000000002"/>
    <n v="0.15584415584415587"/>
  </r>
  <r>
    <x v="66"/>
    <x v="0"/>
    <x v="4"/>
    <x v="4"/>
    <n v="128617.65"/>
    <n v="100573.2"/>
    <n v="28044.449999999997"/>
    <n v="0.21804511278195488"/>
  </r>
  <r>
    <x v="67"/>
    <x v="3"/>
    <x v="4"/>
    <x v="2"/>
    <n v="6550.3619999999992"/>
    <n v="5712.5249999999996"/>
    <n v="837.83699999999953"/>
    <n v="0.127906976744186"/>
  </r>
  <r>
    <x v="68"/>
    <x v="3"/>
    <x v="3"/>
    <x v="4"/>
    <n v="229507.42499999999"/>
    <n v="189434.69999999998"/>
    <n v="40072.725000000006"/>
    <n v="0.17460317460317465"/>
  </r>
  <r>
    <x v="68"/>
    <x v="4"/>
    <x v="3"/>
    <x v="4"/>
    <n v="530.96399999999994"/>
    <n v="441"/>
    <n v="89.963999999999942"/>
    <n v="0.16943521594684377"/>
  </r>
  <r>
    <x v="68"/>
    <x v="3"/>
    <x v="3"/>
    <x v="4"/>
    <n v="41912.639999999999"/>
    <n v="35380.799999999996"/>
    <n v="6531.8400000000038"/>
    <n v="0.15584415584415592"/>
  </r>
  <r>
    <x v="68"/>
    <x v="3"/>
    <x v="0"/>
    <x v="3"/>
    <n v="216362.36159999997"/>
    <n v="195980.4"/>
    <n v="20381.961599999981"/>
    <n v="9.4202898550724556E-2"/>
  </r>
  <r>
    <x v="69"/>
    <x v="3"/>
    <x v="0"/>
    <x v="4"/>
    <n v="4451.3280000000004"/>
    <n v="2318.3999999999996"/>
    <n v="2132.9280000000008"/>
    <n v="0.4791666666666668"/>
  </r>
  <r>
    <x v="69"/>
    <x v="1"/>
    <x v="2"/>
    <x v="4"/>
    <n v="5632.7827499999994"/>
    <n v="4235.1750000000002"/>
    <n v="1397.6077499999992"/>
    <n v="0.24812030075187957"/>
  </r>
  <r>
    <x v="69"/>
    <x v="2"/>
    <x v="3"/>
    <x v="2"/>
    <n v="4600.9388880000006"/>
    <n v="3791.9825999999998"/>
    <n v="808.95628800000077"/>
    <n v="0.17582417582417598"/>
  </r>
  <r>
    <x v="70"/>
    <x v="4"/>
    <x v="3"/>
    <x v="0"/>
    <n v="9498.1949999999997"/>
    <n v="6665.4"/>
    <n v="2832.7950000000001"/>
    <n v="0.29824561403508776"/>
  </r>
  <r>
    <x v="70"/>
    <x v="4"/>
    <x v="2"/>
    <x v="4"/>
    <n v="722.35799999999995"/>
    <n v="567"/>
    <n v="155.35799999999995"/>
    <n v="0.21507064364207215"/>
  </r>
  <r>
    <x v="71"/>
    <x v="0"/>
    <x v="0"/>
    <x v="4"/>
    <n v="521.35019999999997"/>
    <n v="404.77499999999998"/>
    <n v="116.5752"/>
    <n v="0.2236024844720497"/>
  </r>
  <r>
    <x v="71"/>
    <x v="0"/>
    <x v="4"/>
    <x v="4"/>
    <n v="6845.7689999999993"/>
    <n v="3934.35"/>
    <n v="2911.4189999999994"/>
    <n v="0.42528735632183906"/>
  </r>
  <r>
    <x v="71"/>
    <x v="2"/>
    <x v="2"/>
    <x v="2"/>
    <n v="25621.982694000009"/>
    <n v="21591.55845"/>
    <n v="4030.4242440000089"/>
    <n v="0.15730337078651715"/>
  </r>
  <r>
    <x v="72"/>
    <x v="2"/>
    <x v="2"/>
    <x v="4"/>
    <n v="155037.96"/>
    <n v="122522.4"/>
    <n v="32515.559999999998"/>
    <n v="0.20972644376899696"/>
  </r>
  <r>
    <x v="73"/>
    <x v="4"/>
    <x v="0"/>
    <x v="4"/>
    <n v="7917.3360000000002"/>
    <n v="4302.8999999999996"/>
    <n v="3614.4360000000006"/>
    <n v="0.45652173913043487"/>
  </r>
  <r>
    <x v="74"/>
    <x v="3"/>
    <x v="2"/>
    <x v="2"/>
    <n v="5103.5443199999991"/>
    <n v="3987.1439999999993"/>
    <n v="1116.4003199999997"/>
    <n v="0.21875"/>
  </r>
  <r>
    <x v="75"/>
    <x v="0"/>
    <x v="4"/>
    <x v="1"/>
    <n v="78179.668269230751"/>
    <n v="67057.2"/>
    <n v="11122.468269230754"/>
    <n v="0.14226804123711323"/>
  </r>
  <r>
    <x v="75"/>
    <x v="0"/>
    <x v="2"/>
    <x v="3"/>
    <n v="326222.03250000003"/>
    <n v="298738.125"/>
    <n v="27483.90750000003"/>
    <n v="8.4249084249084338E-2"/>
  </r>
  <r>
    <x v="75"/>
    <x v="0"/>
    <x v="4"/>
    <x v="3"/>
    <n v="236473.32239999998"/>
    <n v="214196.84999999998"/>
    <n v="22276.472399999999"/>
    <n v="9.420289855072464E-2"/>
  </r>
  <r>
    <x v="76"/>
    <x v="3"/>
    <x v="0"/>
    <x v="0"/>
    <n v="3043.6559999999999"/>
    <n v="2113.65"/>
    <n v="930.00599999999986"/>
    <n v="0.30555555555555552"/>
  </r>
  <r>
    <x v="76"/>
    <x v="0"/>
    <x v="3"/>
    <x v="2"/>
    <n v="6623.0136000000002"/>
    <n v="5341.1399999999994"/>
    <n v="1281.8736000000008"/>
    <n v="0.1935483870967743"/>
  </r>
  <r>
    <x v="77"/>
    <x v="1"/>
    <x v="2"/>
    <x v="3"/>
    <n v="111517.93799999999"/>
    <n v="101012.625"/>
    <n v="10505.312999999995"/>
    <n v="9.4202898550724598E-2"/>
  </r>
  <r>
    <x v="77"/>
    <x v="0"/>
    <x v="4"/>
    <x v="2"/>
    <n v="33434.831430000006"/>
    <n v="26395.919550000002"/>
    <n v="7038.9118800000033"/>
    <n v="0.21052631578947376"/>
  </r>
  <r>
    <x v="78"/>
    <x v="0"/>
    <x v="0"/>
    <x v="4"/>
    <n v="57815.1"/>
    <n v="45208.799999999996"/>
    <n v="12606.300000000003"/>
    <n v="0.21804511278195493"/>
  </r>
  <r>
    <x v="79"/>
    <x v="3"/>
    <x v="2"/>
    <x v="0"/>
    <n v="3043.6559999999999"/>
    <n v="2113.65"/>
    <n v="930.00599999999986"/>
    <n v="0.30555555555555552"/>
  </r>
  <r>
    <x v="80"/>
    <x v="3"/>
    <x v="4"/>
    <x v="1"/>
    <n v="82226.994230769225"/>
    <n v="76014.288"/>
    <n v="6212.7062307692249"/>
    <n v="7.5555555555555487E-2"/>
  </r>
  <r>
    <x v="81"/>
    <x v="1"/>
    <x v="1"/>
    <x v="4"/>
    <n v="3358.6559999999999"/>
    <n v="1713.6"/>
    <n v="1645.056"/>
    <n v="0.48979591836734698"/>
  </r>
  <r>
    <x v="82"/>
    <x v="3"/>
    <x v="3"/>
    <x v="0"/>
    <n v="33961.244624999999"/>
    <n v="23102.887499999997"/>
    <n v="10858.357125000002"/>
    <n v="0.31972789115646266"/>
  </r>
  <r>
    <x v="82"/>
    <x v="1"/>
    <x v="4"/>
    <x v="4"/>
    <n v="10745.406000000001"/>
    <n v="5777.0999999999995"/>
    <n v="4968.3060000000014"/>
    <n v="0.46236559139784955"/>
  </r>
  <r>
    <x v="83"/>
    <x v="2"/>
    <x v="2"/>
    <x v="4"/>
    <n v="235212.86249999999"/>
    <n v="176494.5"/>
    <n v="58718.362499999988"/>
    <n v="0.24963924963924961"/>
  </r>
  <r>
    <x v="84"/>
    <x v="2"/>
    <x v="0"/>
    <x v="4"/>
    <n v="10679.768662500001"/>
    <n v="8029.9012499999999"/>
    <n v="2649.8674125000007"/>
    <n v="0.24812030075187974"/>
  </r>
  <r>
    <x v="85"/>
    <x v="4"/>
    <x v="0"/>
    <x v="4"/>
    <n v="10846.750320000001"/>
    <n v="5894.9730000000009"/>
    <n v="4951.7773200000001"/>
    <n v="0.45652173913043476"/>
  </r>
  <r>
    <x v="85"/>
    <x v="3"/>
    <x v="1"/>
    <x v="3"/>
    <n v="701101.16999999993"/>
    <n v="590152.5"/>
    <n v="110948.66999999993"/>
    <n v="0.15824915824915817"/>
  </r>
  <r>
    <x v="86"/>
    <x v="0"/>
    <x v="1"/>
    <x v="0"/>
    <n v="10277.58375"/>
    <n v="8060.8499999999995"/>
    <n v="2216.7337500000003"/>
    <n v="0.21568627450980396"/>
  </r>
  <r>
    <x v="86"/>
    <x v="0"/>
    <x v="1"/>
    <x v="4"/>
    <n v="8313.1650000000009"/>
    <n v="4375.3499999999995"/>
    <n v="3937.8150000000014"/>
    <n v="0.47368421052631593"/>
  </r>
  <r>
    <x v="87"/>
    <x v="2"/>
    <x v="3"/>
    <x v="3"/>
    <n v="85015.98"/>
    <n v="72292.5"/>
    <n v="12723.479999999996"/>
    <n v="0.1496598639455782"/>
  </r>
  <r>
    <x v="88"/>
    <x v="3"/>
    <x v="0"/>
    <x v="4"/>
    <n v="2490.0182999999997"/>
    <n v="2044.35"/>
    <n v="445.66829999999982"/>
    <n v="0.17898193760262721"/>
  </r>
  <r>
    <x v="89"/>
    <x v="0"/>
    <x v="1"/>
    <x v="0"/>
    <n v="8922.3119999999999"/>
    <n v="6196.0499999999993"/>
    <n v="2726.2620000000006"/>
    <n v="0.30555555555555564"/>
  </r>
  <r>
    <x v="89"/>
    <x v="4"/>
    <x v="2"/>
    <x v="1"/>
    <n v="84464.872355769228"/>
    <n v="78960.42"/>
    <n v="5504.4523557692301"/>
    <n v="6.5168539325842684E-2"/>
  </r>
  <r>
    <x v="90"/>
    <x v="2"/>
    <x v="2"/>
    <x v="0"/>
    <n v="5539.3915499999994"/>
    <n v="3970.8899999999994"/>
    <n v="1568.50155"/>
    <n v="0.28315412186379929"/>
  </r>
  <r>
    <x v="90"/>
    <x v="2"/>
    <x v="2"/>
    <x v="2"/>
    <n v="6970.2065999999995"/>
    <n v="5389.335"/>
    <n v="1580.8715999999995"/>
    <n v="0.22680412371134015"/>
  </r>
  <r>
    <x v="91"/>
    <x v="3"/>
    <x v="2"/>
    <x v="0"/>
    <n v="7082.1134999999995"/>
    <n v="4769.0999999999995"/>
    <n v="2313.0135"/>
    <n v="0.32659932659932661"/>
  </r>
  <r>
    <x v="91"/>
    <x v="2"/>
    <x v="3"/>
    <x v="0"/>
    <n v="16110.170999999998"/>
    <n v="12204.674999999999"/>
    <n v="3905.4959999999992"/>
    <n v="0.2424242424242424"/>
  </r>
  <r>
    <x v="92"/>
    <x v="2"/>
    <x v="1"/>
    <x v="1"/>
    <n v="98702.069711538454"/>
    <n v="92269.799999999988"/>
    <n v="6432.2697115384653"/>
    <n v="6.5168539325842739E-2"/>
  </r>
  <r>
    <x v="93"/>
    <x v="3"/>
    <x v="3"/>
    <x v="1"/>
    <n v="328104"/>
    <n v="272982.52799999999"/>
    <n v="55121.472000000009"/>
    <n v="0.16800000000000004"/>
  </r>
  <r>
    <x v="93"/>
    <x v="2"/>
    <x v="3"/>
    <x v="4"/>
    <n v="15375.906000000001"/>
    <n v="8448.2999999999993"/>
    <n v="6927.6060000000016"/>
    <n v="0.45054945054945061"/>
  </r>
  <r>
    <x v="93"/>
    <x v="0"/>
    <x v="1"/>
    <x v="4"/>
    <n v="41703.88949999999"/>
    <n v="20851.944749999995"/>
    <n v="20851.944749999995"/>
    <n v="0.5"/>
  </r>
  <r>
    <x v="93"/>
    <x v="4"/>
    <x v="4"/>
    <x v="4"/>
    <n v="8396.010252"/>
    <n v="6518.6415000000006"/>
    <n v="1877.3687519999994"/>
    <n v="0.22360248447204961"/>
  </r>
  <r>
    <x v="93"/>
    <x v="3"/>
    <x v="3"/>
    <x v="2"/>
    <n v="3900.1208400000005"/>
    <n v="3250.1007"/>
    <n v="650.02014000000054"/>
    <n v="0.1666666666666668"/>
  </r>
  <r>
    <x v="94"/>
    <x v="1"/>
    <x v="2"/>
    <x v="1"/>
    <n v="24464.178173076925"/>
    <n v="20769.588"/>
    <n v="3694.5901730769256"/>
    <n v="0.1510204081632654"/>
  </r>
  <r>
    <x v="95"/>
    <x v="1"/>
    <x v="0"/>
    <x v="2"/>
    <n v="4015.5695999999998"/>
    <n v="3073.14"/>
    <n v="942.42959999999994"/>
    <n v="0.23469387755102039"/>
  </r>
  <r>
    <x v="96"/>
    <x v="0"/>
    <x v="0"/>
    <x v="1"/>
    <n v="122311.84975961538"/>
    <n v="101763.45900000002"/>
    <n v="20548.390759615359"/>
    <n v="0.16799999999999979"/>
  </r>
  <r>
    <x v="96"/>
    <x v="4"/>
    <x v="0"/>
    <x v="4"/>
    <n v="6201.09"/>
    <n v="3647.7"/>
    <n v="2553.3900000000003"/>
    <n v="0.41176470588235298"/>
  </r>
  <r>
    <x v="96"/>
    <x v="4"/>
    <x v="2"/>
    <x v="3"/>
    <n v="353735.1972"/>
    <n v="334976.51249999995"/>
    <n v="18758.684700000042"/>
    <n v="5.303030303030315E-2"/>
  </r>
  <r>
    <x v="96"/>
    <x v="3"/>
    <x v="2"/>
    <x v="2"/>
    <n v="9675.3635999999988"/>
    <n v="7719.704999999999"/>
    <n v="1955.6585999999998"/>
    <n v="0.20212765957446807"/>
  </r>
  <r>
    <x v="96"/>
    <x v="2"/>
    <x v="4"/>
    <x v="2"/>
    <n v="25920.427679999997"/>
    <n v="19837.062000000002"/>
    <n v="6083.3656799999953"/>
    <n v="0.23469387755102025"/>
  </r>
  <r>
    <x v="97"/>
    <x v="1"/>
    <x v="3"/>
    <x v="1"/>
    <n v="86198.538461538454"/>
    <n v="81496.799999999988"/>
    <n v="4701.7384615384653"/>
    <n v="5.4545454545454591E-2"/>
  </r>
  <r>
    <x v="98"/>
    <x v="1"/>
    <x v="0"/>
    <x v="0"/>
    <n v="916.49171249999995"/>
    <n v="671.42250000000001"/>
    <n v="245.06921249999994"/>
    <n v="0.26739926739926734"/>
  </r>
  <r>
    <x v="98"/>
    <x v="0"/>
    <x v="0"/>
    <x v="1"/>
    <n v="40656.807692307688"/>
    <n v="35985.599999999999"/>
    <n v="4671.2076923076893"/>
    <n v="0.11489361702127654"/>
  </r>
  <r>
    <x v="98"/>
    <x v="2"/>
    <x v="2"/>
    <x v="4"/>
    <n v="16689.459780000001"/>
    <n v="12548.466"/>
    <n v="4140.9937800000007"/>
    <n v="0.24812030075187971"/>
  </r>
  <r>
    <x v="98"/>
    <x v="1"/>
    <x v="2"/>
    <x v="4"/>
    <n v="257151.50999999998"/>
    <n v="217075.94999999998"/>
    <n v="40075.56"/>
    <n v="0.15584415584415584"/>
  </r>
  <r>
    <x v="99"/>
    <x v="4"/>
    <x v="4"/>
    <x v="0"/>
    <n v="27869.524200000003"/>
    <n v="19765.62"/>
    <n v="8103.9042000000045"/>
    <n v="0.29078014184397177"/>
  </r>
  <r>
    <x v="99"/>
    <x v="4"/>
    <x v="4"/>
    <x v="1"/>
    <n v="395931.64305288461"/>
    <n v="354209.81400000001"/>
    <n v="41721.829052884597"/>
    <n v="0.10537634408602146"/>
  </r>
  <r>
    <x v="99"/>
    <x v="2"/>
    <x v="0"/>
    <x v="4"/>
    <n v="24099.768000000004"/>
    <n v="12171.599999999999"/>
    <n v="11928.168000000005"/>
    <n v="0.49494949494949508"/>
  </r>
  <r>
    <x v="100"/>
    <x v="4"/>
    <x v="3"/>
    <x v="3"/>
    <n v="112218.75"/>
    <n v="98437.5"/>
    <n v="13781.25"/>
    <n v="0.12280701754385964"/>
  </r>
  <r>
    <x v="100"/>
    <x v="2"/>
    <x v="1"/>
    <x v="3"/>
    <n v="191677.18499999997"/>
    <n v="171753.75"/>
    <n v="19923.434999999969"/>
    <n v="0.10394265232974896"/>
  </r>
  <r>
    <x v="101"/>
    <x v="1"/>
    <x v="4"/>
    <x v="0"/>
    <n v="11976.400799999999"/>
    <n v="8316.9449999999997"/>
    <n v="3659.4557999999997"/>
    <n v="0.30555555555555552"/>
  </r>
  <r>
    <x v="101"/>
    <x v="4"/>
    <x v="1"/>
    <x v="4"/>
    <n v="4886.8973999999998"/>
    <n v="3794.1749999999997"/>
    <n v="1092.7224000000001"/>
    <n v="0.22360248447204972"/>
  </r>
  <r>
    <x v="101"/>
    <x v="1"/>
    <x v="3"/>
    <x v="3"/>
    <n v="46216.17"/>
    <n v="38902.5"/>
    <n v="7313.6699999999983"/>
    <n v="0.15824915824915822"/>
  </r>
  <r>
    <x v="101"/>
    <x v="0"/>
    <x v="4"/>
    <x v="3"/>
    <n v="111544.02"/>
    <n v="101036.25"/>
    <n v="10507.770000000004"/>
    <n v="9.4202898550724667E-2"/>
  </r>
  <r>
    <x v="101"/>
    <x v="1"/>
    <x v="3"/>
    <x v="2"/>
    <n v="2556.0360000000001"/>
    <n v="1956.1499999999999"/>
    <n v="599.88600000000019"/>
    <n v="0.23469387755102047"/>
  </r>
  <r>
    <x v="102"/>
    <x v="3"/>
    <x v="0"/>
    <x v="2"/>
    <n v="709.11288000000002"/>
    <n v="590.92739999999992"/>
    <n v="118.1854800000001"/>
    <n v="0.1666666666666668"/>
  </r>
  <r>
    <x v="103"/>
    <x v="3"/>
    <x v="1"/>
    <x v="0"/>
    <n v="26135.944380000004"/>
    <n v="20260.422000000002"/>
    <n v="5875.5223800000022"/>
    <n v="0.22480620155038764"/>
  </r>
  <r>
    <x v="104"/>
    <x v="4"/>
    <x v="2"/>
    <x v="2"/>
    <n v="5840.0999999999995"/>
    <n v="4380.0749999999998"/>
    <n v="1460.0249999999996"/>
    <n v="0.24999999999999997"/>
  </r>
  <r>
    <x v="104"/>
    <x v="2"/>
    <x v="1"/>
    <x v="2"/>
    <n v="16336.03356"/>
    <n v="12502.066500000003"/>
    <n v="3833.9670599999972"/>
    <n v="0.23469387755102025"/>
  </r>
  <r>
    <x v="105"/>
    <x v="1"/>
    <x v="2"/>
    <x v="4"/>
    <n v="6835.7520000000004"/>
    <n v="3883.95"/>
    <n v="2951.8020000000006"/>
    <n v="0.43181818181818188"/>
  </r>
  <r>
    <x v="105"/>
    <x v="2"/>
    <x v="1"/>
    <x v="2"/>
    <n v="3142.5407999999998"/>
    <n v="2455.11"/>
    <n v="687.43079999999964"/>
    <n v="0.21874999999999989"/>
  </r>
  <r>
    <x v="106"/>
    <x v="1"/>
    <x v="1"/>
    <x v="4"/>
    <n v="9507.9600000000009"/>
    <n v="5402.25"/>
    <n v="4105.7100000000009"/>
    <n v="0.43181818181818188"/>
  </r>
  <r>
    <x v="107"/>
    <x v="3"/>
    <x v="0"/>
    <x v="1"/>
    <n v="111121.09615384616"/>
    <n v="107503.2"/>
    <n v="3617.896153846159"/>
    <n v="3.2558139534883769E-2"/>
  </r>
  <r>
    <x v="108"/>
    <x v="3"/>
    <x v="3"/>
    <x v="3"/>
    <n v="82082.7"/>
    <n v="79537.5"/>
    <n v="2545.1999999999971"/>
    <n v="3.1007751937984461E-2"/>
  </r>
  <r>
    <x v="109"/>
    <x v="2"/>
    <x v="0"/>
    <x v="4"/>
    <n v="5209.6432499999992"/>
    <n v="3917.0249999999996"/>
    <n v="1292.6182499999995"/>
    <n v="0.24812030075187966"/>
  </r>
  <r>
    <x v="110"/>
    <x v="3"/>
    <x v="2"/>
    <x v="4"/>
    <n v="9668.4839999999986"/>
    <n v="4932.8999999999996"/>
    <n v="4735.5839999999989"/>
    <n v="0.48979591836734693"/>
  </r>
  <r>
    <x v="111"/>
    <x v="2"/>
    <x v="2"/>
    <x v="4"/>
    <n v="6856.59555"/>
    <n v="4033.2914999999998"/>
    <n v="2823.3040500000002"/>
    <n v="0.41176470588235298"/>
  </r>
  <r>
    <x v="111"/>
    <x v="4"/>
    <x v="0"/>
    <x v="2"/>
    <n v="10727.64"/>
    <n v="8045.73"/>
    <n v="2681.91"/>
    <n v="0.25"/>
  </r>
  <r>
    <x v="112"/>
    <x v="0"/>
    <x v="4"/>
    <x v="0"/>
    <n v="6635.6954999999998"/>
    <n v="5143.95"/>
    <n v="1491.7455"/>
    <n v="0.22480620155038761"/>
  </r>
  <r>
    <x v="112"/>
    <x v="2"/>
    <x v="3"/>
    <x v="1"/>
    <n v="102939.12259615384"/>
    <n v="90153"/>
    <n v="12786.122596153844"/>
    <n v="0.12421052631578945"/>
  </r>
  <r>
    <x v="112"/>
    <x v="1"/>
    <x v="0"/>
    <x v="3"/>
    <n v="156235.52699999997"/>
    <n v="141517.6875"/>
    <n v="14717.839499999973"/>
    <n v="9.4202898550724473E-2"/>
  </r>
  <r>
    <x v="113"/>
    <x v="1"/>
    <x v="4"/>
    <x v="4"/>
    <n v="1202.2244324999999"/>
    <n v="943.66125"/>
    <n v="258.56318249999993"/>
    <n v="0.21507064364207218"/>
  </r>
  <r>
    <x v="114"/>
    <x v="2"/>
    <x v="3"/>
    <x v="4"/>
    <n v="281517.201"/>
    <n v="232363.40399999995"/>
    <n v="49153.79700000005"/>
    <n v="0.17460317460317479"/>
  </r>
  <r>
    <x v="115"/>
    <x v="4"/>
    <x v="1"/>
    <x v="3"/>
    <n v="98694.854999999996"/>
    <n v="88436.25"/>
    <n v="10258.604999999996"/>
    <n v="0.10394265232974907"/>
  </r>
  <r>
    <x v="116"/>
    <x v="4"/>
    <x v="3"/>
    <x v="4"/>
    <n v="4357.6312499999995"/>
    <n v="3346.875"/>
    <n v="1010.7562499999995"/>
    <n v="0.23195084485407055"/>
  </r>
  <r>
    <x v="116"/>
    <x v="2"/>
    <x v="2"/>
    <x v="4"/>
    <n v="163593.71279999998"/>
    <n v="126590.37300000001"/>
    <n v="37003.339799999972"/>
    <n v="0.22619047619047605"/>
  </r>
  <r>
    <x v="116"/>
    <x v="1"/>
    <x v="1"/>
    <x v="2"/>
    <n v="9467.7659999999996"/>
    <n v="7718.2874999999995"/>
    <n v="1749.4785000000002"/>
    <n v="0.18478260869565219"/>
  </r>
  <r>
    <x v="117"/>
    <x v="4"/>
    <x v="1"/>
    <x v="2"/>
    <n v="10176.16446"/>
    <n v="7709.2155000000002"/>
    <n v="2466.9489599999997"/>
    <n v="0.2424242424242424"/>
  </r>
  <r>
    <x v="118"/>
    <x v="3"/>
    <x v="2"/>
    <x v="4"/>
    <n v="63051.974999999999"/>
    <n v="49303.799999999996"/>
    <n v="13748.175000000003"/>
    <n v="0.21804511278195493"/>
  </r>
  <r>
    <x v="118"/>
    <x v="3"/>
    <x v="0"/>
    <x v="2"/>
    <n v="1313.172"/>
    <n v="1094.31"/>
    <n v="218.86200000000008"/>
    <n v="0.16666666666666671"/>
  </r>
  <r>
    <x v="118"/>
    <x v="2"/>
    <x v="4"/>
    <x v="2"/>
    <n v="9108.2123999999985"/>
    <n v="7190.6939999999995"/>
    <n v="1917.518399999999"/>
    <n v="0.21052631578947362"/>
  </r>
  <r>
    <x v="119"/>
    <x v="1"/>
    <x v="3"/>
    <x v="4"/>
    <n v="175599.58499999999"/>
    <n v="134479.79999999999"/>
    <n v="41119.785000000003"/>
    <n v="0.23416789396170842"/>
  </r>
  <r>
    <x v="120"/>
    <x v="2"/>
    <x v="2"/>
    <x v="4"/>
    <n v="10404.954"/>
    <n v="5534.5499999999993"/>
    <n v="4870.4040000000005"/>
    <n v="0.46808510638297879"/>
  </r>
  <r>
    <x v="121"/>
    <x v="1"/>
    <x v="1"/>
    <x v="2"/>
    <n v="4781.7"/>
    <n v="3898.1249999999995"/>
    <n v="883.57500000000027"/>
    <n v="0.18478260869565225"/>
  </r>
  <r>
    <x v="122"/>
    <x v="2"/>
    <x v="2"/>
    <x v="0"/>
    <n v="2594.0249999999996"/>
    <n v="1729.35"/>
    <n v="864.67499999999973"/>
    <n v="0.33333333333333326"/>
  </r>
  <r>
    <x v="122"/>
    <x v="3"/>
    <x v="4"/>
    <x v="2"/>
    <n v="19190.300975999999"/>
    <n v="14538.1068"/>
    <n v="4652.1941759999991"/>
    <n v="0.2424242424242424"/>
  </r>
  <r>
    <x v="122"/>
    <x v="4"/>
    <x v="0"/>
    <x v="2"/>
    <n v="1429.1121600000001"/>
    <n v="1204.308"/>
    <n v="224.80416000000014"/>
    <n v="0.15730337078651693"/>
  </r>
  <r>
    <x v="123"/>
    <x v="2"/>
    <x v="3"/>
    <x v="4"/>
    <n v="15727.634999999998"/>
    <n v="8835.75"/>
    <n v="6891.8849999999984"/>
    <n v="0.4382022471910112"/>
  </r>
  <r>
    <x v="124"/>
    <x v="3"/>
    <x v="1"/>
    <x v="0"/>
    <n v="52761.47625"/>
    <n v="40430.25"/>
    <n v="12331.22625"/>
    <n v="0.23371647509578544"/>
  </r>
  <r>
    <x v="124"/>
    <x v="1"/>
    <x v="4"/>
    <x v="4"/>
    <n v="335578.94999999995"/>
    <n v="262407.59999999998"/>
    <n v="73171.349999999977"/>
    <n v="0.21804511278195485"/>
  </r>
  <r>
    <x v="124"/>
    <x v="4"/>
    <x v="2"/>
    <x v="3"/>
    <n v="63157.184999999998"/>
    <n v="54258.75"/>
    <n v="8898.4349999999977"/>
    <n v="0.14089347079037798"/>
  </r>
  <r>
    <x v="125"/>
    <x v="4"/>
    <x v="1"/>
    <x v="0"/>
    <n v="7139.5562699999991"/>
    <n v="5173.5914999999995"/>
    <n v="1965.9647699999996"/>
    <n v="0.27536231884057971"/>
  </r>
  <r>
    <x v="125"/>
    <x v="3"/>
    <x v="1"/>
    <x v="4"/>
    <n v="1122.3670500000001"/>
    <n v="843.88499999999988"/>
    <n v="278.48205000000019"/>
    <n v="0.24812030075187985"/>
  </r>
  <r>
    <x v="126"/>
    <x v="2"/>
    <x v="4"/>
    <x v="0"/>
    <n v="40090.868999999999"/>
    <n v="29696.940000000002"/>
    <n v="10393.928999999996"/>
    <n v="0.25925925925925919"/>
  </r>
  <r>
    <x v="126"/>
    <x v="1"/>
    <x v="0"/>
    <x v="4"/>
    <n v="5017.32"/>
    <n v="2850.75"/>
    <n v="2166.5699999999997"/>
    <n v="0.43181818181818177"/>
  </r>
  <r>
    <x v="127"/>
    <x v="0"/>
    <x v="2"/>
    <x v="4"/>
    <n v="12649.845977999999"/>
    <n v="9126.8729999999996"/>
    <n v="3522.9729779999998"/>
    <n v="0.27849927849927847"/>
  </r>
  <r>
    <x v="128"/>
    <x v="2"/>
    <x v="3"/>
    <x v="1"/>
    <n v="98702.069711538454"/>
    <n v="92269.799999999988"/>
    <n v="6432.2697115384653"/>
    <n v="6.5168539325842739E-2"/>
  </r>
  <r>
    <x v="129"/>
    <x v="1"/>
    <x v="4"/>
    <x v="4"/>
    <n v="3947.6555999999996"/>
    <n v="3064.95"/>
    <n v="882.70559999999978"/>
    <n v="0.22360248447204967"/>
  </r>
  <r>
    <x v="129"/>
    <x v="2"/>
    <x v="0"/>
    <x v="4"/>
    <n v="14349.157199999998"/>
    <n v="7552.1879999999992"/>
    <n v="6796.9691999999986"/>
    <n v="0.47368421052631576"/>
  </r>
  <r>
    <x v="129"/>
    <x v="1"/>
    <x v="0"/>
    <x v="3"/>
    <n v="55206.899999999994"/>
    <n v="50006.25"/>
    <n v="5200.6499999999942"/>
    <n v="9.4202898550724543E-2"/>
  </r>
  <r>
    <x v="130"/>
    <x v="3"/>
    <x v="2"/>
    <x v="2"/>
    <n v="10765.19808"/>
    <n v="8872.4159999999993"/>
    <n v="1892.7820800000009"/>
    <n v="0.17582417582417589"/>
  </r>
  <r>
    <x v="131"/>
    <x v="1"/>
    <x v="4"/>
    <x v="3"/>
    <n v="515038.27724999998"/>
    <n v="451787.96249999997"/>
    <n v="63250.31475000002"/>
    <n v="0.12280701754385968"/>
  </r>
  <r>
    <x v="132"/>
    <x v="1"/>
    <x v="2"/>
    <x v="4"/>
    <n v="872470.87200000009"/>
    <n v="675126.2699999999"/>
    <n v="197344.60200000019"/>
    <n v="0.22619047619047639"/>
  </r>
  <r>
    <x v="132"/>
    <x v="0"/>
    <x v="4"/>
    <x v="2"/>
    <n v="8729.7209999999995"/>
    <n v="6891.8850000000002"/>
    <n v="1837.8359999999993"/>
    <n v="0.21052631578947362"/>
  </r>
  <r>
    <x v="132"/>
    <x v="1"/>
    <x v="2"/>
    <x v="2"/>
    <n v="1348.3259999999998"/>
    <n v="1162.3499999999999"/>
    <n v="185.97599999999989"/>
    <n v="0.13793103448275856"/>
  </r>
  <r>
    <x v="133"/>
    <x v="2"/>
    <x v="2"/>
    <x v="0"/>
    <n v="5343.691499999999"/>
    <n v="3562.4609999999993"/>
    <n v="1781.2304999999997"/>
    <n v="0.33333333333333331"/>
  </r>
  <r>
    <x v="134"/>
    <x v="0"/>
    <x v="0"/>
    <x v="0"/>
    <n v="10036.844999999999"/>
    <n v="7780.4999999999991"/>
    <n v="2256.3450000000003"/>
    <n v="0.22480620155038764"/>
  </r>
  <r>
    <x v="134"/>
    <x v="0"/>
    <x v="3"/>
    <x v="1"/>
    <n v="2122.6153846153848"/>
    <n v="919.8"/>
    <n v="1202.8153846153848"/>
    <n v="0.56666666666666676"/>
  </r>
  <r>
    <x v="135"/>
    <x v="0"/>
    <x v="2"/>
    <x v="1"/>
    <n v="69505.204326923078"/>
    <n v="62180.999999999993"/>
    <n v="7324.2043269230853"/>
    <n v="0.10537634408602163"/>
  </r>
  <r>
    <x v="136"/>
    <x v="1"/>
    <x v="0"/>
    <x v="4"/>
    <n v="17993.717280000001"/>
    <n v="13250.159999999998"/>
    <n v="4743.5572800000027"/>
    <n v="0.26362297496318127"/>
  </r>
  <r>
    <x v="136"/>
    <x v="2"/>
    <x v="3"/>
    <x v="2"/>
    <n v="6766.0865999999996"/>
    <n v="5576.4449999999997"/>
    <n v="1189.6415999999999"/>
    <n v="0.17582417582417581"/>
  </r>
  <r>
    <x v="137"/>
    <x v="4"/>
    <x v="1"/>
    <x v="2"/>
    <n v="17034.74955"/>
    <n v="14039.628749999998"/>
    <n v="2995.1208000000024"/>
    <n v="0.17582417582417595"/>
  </r>
  <r>
    <x v="138"/>
    <x v="3"/>
    <x v="0"/>
    <x v="2"/>
    <n v="4230.4247999999998"/>
    <n v="3237.57"/>
    <n v="992.85479999999961"/>
    <n v="0.23469387755102034"/>
  </r>
  <r>
    <x v="139"/>
    <x v="0"/>
    <x v="0"/>
    <x v="4"/>
    <n v="3244.1282999999999"/>
    <n v="2491.6499999999996"/>
    <n v="752.47830000000022"/>
    <n v="0.23195084485407075"/>
  </r>
  <r>
    <x v="139"/>
    <x v="1"/>
    <x v="4"/>
    <x v="4"/>
    <n v="116132.94"/>
    <n v="98034.299999999988"/>
    <n v="18098.640000000014"/>
    <n v="0.15584415584415595"/>
  </r>
  <r>
    <x v="139"/>
    <x v="3"/>
    <x v="2"/>
    <x v="4"/>
    <n v="5681.3147999999992"/>
    <n v="4718.7"/>
    <n v="962.61479999999938"/>
    <n v="0.16943521594684377"/>
  </r>
  <r>
    <x v="139"/>
    <x v="4"/>
    <x v="0"/>
    <x v="3"/>
    <n v="168648.47999999998"/>
    <n v="146396.25"/>
    <n v="22252.229999999981"/>
    <n v="0.13194444444444434"/>
  </r>
  <r>
    <x v="140"/>
    <x v="2"/>
    <x v="3"/>
    <x v="3"/>
    <n v="150738.31080000001"/>
    <n v="136538.32499999998"/>
    <n v="14199.985800000024"/>
    <n v="9.4202898550724792E-2"/>
  </r>
  <r>
    <x v="141"/>
    <x v="0"/>
    <x v="2"/>
    <x v="4"/>
    <n v="735.76440000000002"/>
    <n v="611.09999999999991"/>
    <n v="124.66440000000011"/>
    <n v="0.16943521594684399"/>
  </r>
  <r>
    <x v="142"/>
    <x v="4"/>
    <x v="4"/>
    <x v="4"/>
    <n v="8487.8639999999996"/>
    <n v="4822.6499999999996"/>
    <n v="3665.2139999999999"/>
    <n v="0.43181818181818182"/>
  </r>
  <r>
    <x v="143"/>
    <x v="3"/>
    <x v="1"/>
    <x v="4"/>
    <n v="10723.863150000001"/>
    <n v="8063.0549999999994"/>
    <n v="2660.8081500000017"/>
    <n v="0.24812030075187982"/>
  </r>
  <r>
    <x v="144"/>
    <x v="2"/>
    <x v="1"/>
    <x v="0"/>
    <n v="29571.423840000007"/>
    <n v="21428.567999999996"/>
    <n v="8142.8558400000111"/>
    <n v="0.27536231884058004"/>
  </r>
  <r>
    <x v="144"/>
    <x v="4"/>
    <x v="1"/>
    <x v="4"/>
    <n v="2221.317"/>
    <n v="1724.625"/>
    <n v="496.69200000000001"/>
    <n v="0.2236024844720497"/>
  </r>
  <r>
    <x v="144"/>
    <x v="0"/>
    <x v="3"/>
    <x v="4"/>
    <n v="48404.931750000003"/>
    <n v="39953.276999999995"/>
    <n v="8451.6547500000088"/>
    <n v="0.17460317460317476"/>
  </r>
  <r>
    <x v="145"/>
    <x v="4"/>
    <x v="0"/>
    <x v="1"/>
    <n v="54659.663221153845"/>
    <n v="46883.34"/>
    <n v="7776.3232211538489"/>
    <n v="0.14226804123711345"/>
  </r>
  <r>
    <x v="145"/>
    <x v="3"/>
    <x v="2"/>
    <x v="3"/>
    <n v="778531.65390000003"/>
    <n v="754391.13749999995"/>
    <n v="24140.51640000008"/>
    <n v="3.10077519379846E-2"/>
  </r>
  <r>
    <x v="145"/>
    <x v="0"/>
    <x v="0"/>
    <x v="2"/>
    <n v="4797.1980000000003"/>
    <n v="3671.3249999999998"/>
    <n v="1125.8730000000005"/>
    <n v="0.2346938775510205"/>
  </r>
  <r>
    <x v="146"/>
    <x v="3"/>
    <x v="4"/>
    <x v="3"/>
    <n v="195104.69999999998"/>
    <n v="180652.5"/>
    <n v="14452.199999999983"/>
    <n v="7.4074074074073987E-2"/>
  </r>
  <r>
    <x v="147"/>
    <x v="1"/>
    <x v="3"/>
    <x v="2"/>
    <n v="8851.5504000000001"/>
    <n v="7543.9350000000004"/>
    <n v="1307.6153999999997"/>
    <n v="0.14772727272727268"/>
  </r>
  <r>
    <x v="148"/>
    <x v="1"/>
    <x v="0"/>
    <x v="4"/>
    <n v="3764.3759999999997"/>
    <n v="2772"/>
    <n v="992.37599999999975"/>
    <n v="0.2636229749631811"/>
  </r>
  <r>
    <x v="149"/>
    <x v="0"/>
    <x v="3"/>
    <x v="1"/>
    <n v="33059.098557692305"/>
    <n v="28066.5"/>
    <n v="4992.5985576923049"/>
    <n v="0.15102040816326523"/>
  </r>
  <r>
    <x v="149"/>
    <x v="4"/>
    <x v="4"/>
    <x v="1"/>
    <n v="232944.81706730768"/>
    <n v="228011.86800000002"/>
    <n v="4932.9490673076652"/>
    <n v="2.1176470588235179E-2"/>
  </r>
  <r>
    <x v="149"/>
    <x v="3"/>
    <x v="3"/>
    <x v="2"/>
    <n v="7138.8702000000003"/>
    <n v="5519.7449999999999"/>
    <n v="1619.1252000000004"/>
    <n v="0.22680412371134026"/>
  </r>
  <r>
    <x v="150"/>
    <x v="2"/>
    <x v="0"/>
    <x v="4"/>
    <n v="39569.767650000002"/>
    <n v="20826.193499999998"/>
    <n v="18743.574150000004"/>
    <n v="0.47368421052631587"/>
  </r>
  <r>
    <x v="151"/>
    <x v="1"/>
    <x v="2"/>
    <x v="2"/>
    <n v="6813.0583919999999"/>
    <n v="5873.3261999999995"/>
    <n v="939.7321920000004"/>
    <n v="0.13793103448275867"/>
  </r>
  <r>
    <x v="152"/>
    <x v="3"/>
    <x v="0"/>
    <x v="1"/>
    <n v="140884.50721153844"/>
    <n v="130239.9"/>
    <n v="10644.607211538445"/>
    <n v="7.5555555555555445E-2"/>
  </r>
  <r>
    <x v="152"/>
    <x v="3"/>
    <x v="3"/>
    <x v="4"/>
    <n v="40129.579980000002"/>
    <n v="21575.042999999998"/>
    <n v="18554.536980000004"/>
    <n v="0.46236559139784955"/>
  </r>
  <r>
    <x v="153"/>
    <x v="0"/>
    <x v="1"/>
    <x v="0"/>
    <n v="26618.941912499999"/>
    <n v="20877.601500000001"/>
    <n v="5741.3404124999979"/>
    <n v="0.21568627450980385"/>
  </r>
  <r>
    <x v="153"/>
    <x v="1"/>
    <x v="4"/>
    <x v="4"/>
    <n v="1045.41255"/>
    <n v="820.57499999999993"/>
    <n v="224.83755000000008"/>
    <n v="0.21507064364207229"/>
  </r>
  <r>
    <x v="154"/>
    <x v="4"/>
    <x v="0"/>
    <x v="1"/>
    <n v="21317.01923076923"/>
    <n v="20865.599999999999"/>
    <n v="451.41923076923194"/>
    <n v="2.1176470588235349E-2"/>
  </r>
  <r>
    <x v="154"/>
    <x v="4"/>
    <x v="4"/>
    <x v="4"/>
    <n v="2427.8152500000001"/>
    <n v="1825.425"/>
    <n v="602.39025000000015"/>
    <n v="0.24812030075187974"/>
  </r>
  <r>
    <x v="154"/>
    <x v="1"/>
    <x v="4"/>
    <x v="4"/>
    <n v="667253.19779999997"/>
    <n v="538775.87400000007"/>
    <n v="128477.3237999999"/>
    <n v="0.19254658385093154"/>
  </r>
  <r>
    <x v="154"/>
    <x v="4"/>
    <x v="2"/>
    <x v="3"/>
    <n v="92245.23"/>
    <n v="77647.5"/>
    <n v="14597.729999999996"/>
    <n v="0.15824915824915822"/>
  </r>
  <r>
    <x v="155"/>
    <x v="2"/>
    <x v="2"/>
    <x v="4"/>
    <n v="895008.44160000002"/>
    <n v="707301.50400000007"/>
    <n v="187706.93759999995"/>
    <n v="0.20972644376899691"/>
  </r>
  <r>
    <x v="155"/>
    <x v="3"/>
    <x v="3"/>
    <x v="2"/>
    <n v="1313.172"/>
    <n v="1094.31"/>
    <n v="218.86200000000008"/>
    <n v="0.16666666666666671"/>
  </r>
  <r>
    <x v="156"/>
    <x v="1"/>
    <x v="4"/>
    <x v="0"/>
    <n v="11299.742999999999"/>
    <n v="8278.1999999999989"/>
    <n v="3021.5429999999997"/>
    <n v="0.26739926739926739"/>
  </r>
  <r>
    <x v="156"/>
    <x v="4"/>
    <x v="2"/>
    <x v="1"/>
    <n v="377985.93403846154"/>
    <n v="320902.34399999998"/>
    <n v="57083.590038461552"/>
    <n v="0.15102040816326534"/>
  </r>
  <r>
    <x v="156"/>
    <x v="2"/>
    <x v="3"/>
    <x v="1"/>
    <n v="9898.8386538461527"/>
    <n v="4332.8249999999998"/>
    <n v="5566.0136538461529"/>
    <n v="0.56228956228956228"/>
  </r>
  <r>
    <x v="156"/>
    <x v="0"/>
    <x v="2"/>
    <x v="4"/>
    <n v="9655.9948800000002"/>
    <n v="7184.5199999999995"/>
    <n v="2471.4748800000007"/>
    <n v="0.25595238095238104"/>
  </r>
  <r>
    <x v="157"/>
    <x v="3"/>
    <x v="3"/>
    <x v="3"/>
    <n v="102491.48699999999"/>
    <n v="91838.25"/>
    <n v="10653.236999999994"/>
    <n v="0.10394265232974904"/>
  </r>
  <r>
    <x v="158"/>
    <x v="1"/>
    <x v="3"/>
    <x v="1"/>
    <n v="271231.53749999998"/>
    <n v="230270.03999999998"/>
    <n v="40961.497499999998"/>
    <n v="0.15102040816326531"/>
  </r>
  <r>
    <x v="158"/>
    <x v="2"/>
    <x v="1"/>
    <x v="4"/>
    <n v="24923.758859999998"/>
    <n v="12716.2035"/>
    <n v="12207.555359999998"/>
    <n v="0.48979591836734693"/>
  </r>
  <r>
    <x v="158"/>
    <x v="4"/>
    <x v="0"/>
    <x v="3"/>
    <n v="767350.58400000003"/>
    <n v="666102.9375"/>
    <n v="101247.64650000003"/>
    <n v="0.13194444444444448"/>
  </r>
  <r>
    <x v="159"/>
    <x v="4"/>
    <x v="4"/>
    <x v="4"/>
    <n v="1858.3992000000001"/>
    <n v="1032.444"/>
    <n v="825.9552000000001"/>
    <n v="0.44444444444444448"/>
  </r>
  <r>
    <x v="160"/>
    <x v="3"/>
    <x v="2"/>
    <x v="4"/>
    <n v="9668.4839999999986"/>
    <n v="4932.8999999999996"/>
    <n v="4735.5839999999989"/>
    <n v="0.48979591836734693"/>
  </r>
  <r>
    <x v="161"/>
    <x v="2"/>
    <x v="0"/>
    <x v="1"/>
    <n v="35397.973557692305"/>
    <n v="29748.6"/>
    <n v="5649.3735576923063"/>
    <n v="0.15959595959595957"/>
  </r>
  <r>
    <x v="161"/>
    <x v="3"/>
    <x v="0"/>
    <x v="1"/>
    <n v="6370.0160192307685"/>
    <n v="3983.1749999999997"/>
    <n v="2386.8410192307688"/>
    <n v="0.3746993746993747"/>
  </r>
  <r>
    <x v="161"/>
    <x v="1"/>
    <x v="3"/>
    <x v="3"/>
    <n v="314991.18"/>
    <n v="262492.64999999997"/>
    <n v="52498.530000000028"/>
    <n v="0.16666666666666677"/>
  </r>
  <r>
    <x v="161"/>
    <x v="1"/>
    <x v="0"/>
    <x v="3"/>
    <n v="72803.366999999998"/>
    <n v="71375.849999999991"/>
    <n v="1427.5170000000071"/>
    <n v="1.9607843137254999E-2"/>
  </r>
  <r>
    <x v="162"/>
    <x v="0"/>
    <x v="1"/>
    <x v="0"/>
    <n v="29440.057499999995"/>
    <n v="22821.75"/>
    <n v="6618.3074999999953"/>
    <n v="0.22480620155038747"/>
  </r>
  <r>
    <x v="162"/>
    <x v="0"/>
    <x v="2"/>
    <x v="0"/>
    <n v="15298.58988"/>
    <n v="11859.372000000001"/>
    <n v="3439.2178799999983"/>
    <n v="0.2248062015503875"/>
  </r>
  <r>
    <x v="162"/>
    <x v="2"/>
    <x v="4"/>
    <x v="3"/>
    <n v="33558.840000000004"/>
    <n v="30397.499999999996"/>
    <n v="3161.3400000000074"/>
    <n v="9.4202898550724848E-2"/>
  </r>
  <r>
    <x v="163"/>
    <x v="3"/>
    <x v="0"/>
    <x v="0"/>
    <n v="11078.907839999998"/>
    <n v="7693.6860000000006"/>
    <n v="3385.2218399999974"/>
    <n v="0.30555555555555536"/>
  </r>
  <r>
    <x v="163"/>
    <x v="2"/>
    <x v="2"/>
    <x v="4"/>
    <n v="230413.68"/>
    <n v="178296.3"/>
    <n v="52117.380000000005"/>
    <n v="0.22619047619047622"/>
  </r>
  <r>
    <x v="164"/>
    <x v="3"/>
    <x v="4"/>
    <x v="1"/>
    <n v="65259.51923076922"/>
    <n v="60328.799999999996"/>
    <n v="4930.7192307692239"/>
    <n v="7.5555555555555459E-2"/>
  </r>
  <r>
    <x v="164"/>
    <x v="1"/>
    <x v="3"/>
    <x v="1"/>
    <n v="3798.5365384615384"/>
    <n v="2351.4749999999999"/>
    <n v="1447.0615384615385"/>
    <n v="0.38095238095238099"/>
  </r>
  <r>
    <x v="165"/>
    <x v="0"/>
    <x v="3"/>
    <x v="0"/>
    <n v="22570.362045000002"/>
    <n v="16179.471000000001"/>
    <n v="6390.8910450000003"/>
    <n v="0.28315412186379929"/>
  </r>
  <r>
    <x v="166"/>
    <x v="2"/>
    <x v="2"/>
    <x v="0"/>
    <n v="22331.578500000003"/>
    <n v="14887.718999999997"/>
    <n v="7443.8595000000059"/>
    <n v="0.33333333333333354"/>
  </r>
  <r>
    <x v="166"/>
    <x v="4"/>
    <x v="3"/>
    <x v="4"/>
    <n v="77713.02"/>
    <n v="64864.799999999996"/>
    <n v="12848.220000000008"/>
    <n v="0.16532905296950251"/>
  </r>
  <r>
    <x v="167"/>
    <x v="2"/>
    <x v="1"/>
    <x v="2"/>
    <n v="11721.677184"/>
    <n v="9157.560300000001"/>
    <n v="2564.1168839999991"/>
    <n v="0.21874999999999992"/>
  </r>
  <r>
    <x v="168"/>
    <x v="0"/>
    <x v="1"/>
    <x v="1"/>
    <n v="121506.10096153844"/>
    <n v="103156.2"/>
    <n v="18349.900961538442"/>
    <n v="0.15102040816326517"/>
  </r>
  <r>
    <x v="168"/>
    <x v="0"/>
    <x v="3"/>
    <x v="1"/>
    <n v="77217.95812499999"/>
    <n v="64894.284"/>
    <n v="12323.67412499999"/>
    <n v="0.15959595959595949"/>
  </r>
  <r>
    <x v="168"/>
    <x v="4"/>
    <x v="2"/>
    <x v="1"/>
    <n v="92180.661057692298"/>
    <n v="90228.599999999991"/>
    <n v="1952.0610576923063"/>
    <n v="2.1176470588235283E-2"/>
  </r>
  <r>
    <x v="168"/>
    <x v="4"/>
    <x v="2"/>
    <x v="4"/>
    <n v="3803.4851400000002"/>
    <n v="2185.9110000000001"/>
    <n v="1617.5741400000002"/>
    <n v="0.42528735632183912"/>
  </r>
  <r>
    <x v="168"/>
    <x v="1"/>
    <x v="2"/>
    <x v="2"/>
    <n v="5565.1163400000005"/>
    <n v="4393.5128999999997"/>
    <n v="1171.6034400000008"/>
    <n v="0.21052631578947381"/>
  </r>
  <r>
    <x v="169"/>
    <x v="3"/>
    <x v="1"/>
    <x v="3"/>
    <n v="264720.95999999996"/>
    <n v="229792.49999999997"/>
    <n v="34928.459999999992"/>
    <n v="0.13194444444444442"/>
  </r>
  <r>
    <x v="170"/>
    <x v="2"/>
    <x v="0"/>
    <x v="1"/>
    <n v="56717.71875"/>
    <n v="48648.6"/>
    <n v="8069.1187500000015"/>
    <n v="0.14226804123711342"/>
  </r>
  <r>
    <x v="171"/>
    <x v="2"/>
    <x v="0"/>
    <x v="4"/>
    <n v="171692.32499999998"/>
    <n v="146601"/>
    <n v="25091.324999999983"/>
    <n v="0.14614121510673225"/>
  </r>
  <r>
    <x v="171"/>
    <x v="0"/>
    <x v="2"/>
    <x v="2"/>
    <n v="10382.758847999999"/>
    <n v="8848.9422000000013"/>
    <n v="1533.8166479999982"/>
    <n v="0.14772727272727257"/>
  </r>
  <r>
    <x v="172"/>
    <x v="4"/>
    <x v="2"/>
    <x v="4"/>
    <n v="151307.09999999998"/>
    <n v="119573.99999999999"/>
    <n v="31733.099999999991"/>
    <n v="0.20972644376899693"/>
  </r>
  <r>
    <x v="173"/>
    <x v="2"/>
    <x v="4"/>
    <x v="4"/>
    <n v="555.61590000000001"/>
    <n v="461.47499999999997"/>
    <n v="94.140900000000045"/>
    <n v="0.16943521594684394"/>
  </r>
  <r>
    <x v="174"/>
    <x v="1"/>
    <x v="4"/>
    <x v="2"/>
    <n v="1996.8983999999998"/>
    <n v="1593.2699999999998"/>
    <n v="403.62840000000006"/>
    <n v="0.20212765957446813"/>
  </r>
  <r>
    <x v="174"/>
    <x v="0"/>
    <x v="4"/>
    <x v="2"/>
    <n v="22684.950287999996"/>
    <n v="19333.764449999999"/>
    <n v="3351.1858379999976"/>
    <n v="0.14772727272727265"/>
  </r>
  <r>
    <x v="175"/>
    <x v="0"/>
    <x v="2"/>
    <x v="4"/>
    <n v="29411.125379999994"/>
    <n v="15812.433000000001"/>
    <n v="13598.692379999993"/>
    <n v="0.46236559139784933"/>
  </r>
  <r>
    <x v="176"/>
    <x v="2"/>
    <x v="2"/>
    <x v="0"/>
    <n v="9232.3192499999986"/>
    <n v="6618.15"/>
    <n v="2614.169249999999"/>
    <n v="0.28315412186379924"/>
  </r>
  <r>
    <x v="176"/>
    <x v="2"/>
    <x v="2"/>
    <x v="4"/>
    <n v="232556.94"/>
    <n v="183783.59999999998"/>
    <n v="48773.340000000026"/>
    <n v="0.20972644376899707"/>
  </r>
  <r>
    <x v="177"/>
    <x v="1"/>
    <x v="0"/>
    <x v="1"/>
    <n v="37346.222812499997"/>
    <n v="34145.117999999995"/>
    <n v="3201.1048125000016"/>
    <n v="8.5714285714285771E-2"/>
  </r>
  <r>
    <x v="177"/>
    <x v="1"/>
    <x v="2"/>
    <x v="4"/>
    <n v="135342.9"/>
    <n v="114250.5"/>
    <n v="21092.399999999994"/>
    <n v="0.15584415584415581"/>
  </r>
  <r>
    <x v="177"/>
    <x v="1"/>
    <x v="2"/>
    <x v="4"/>
    <n v="22193.164035000002"/>
    <n v="16686.589499999998"/>
    <n v="5506.5745350000034"/>
    <n v="0.24812030075187982"/>
  </r>
  <r>
    <x v="177"/>
    <x v="1"/>
    <x v="3"/>
    <x v="2"/>
    <n v="2398.5725400000001"/>
    <n v="1976.8455000000001"/>
    <n v="421.72703999999999"/>
    <n v="0.17582417582417581"/>
  </r>
  <r>
    <x v="178"/>
    <x v="3"/>
    <x v="4"/>
    <x v="1"/>
    <n v="94150.168269230751"/>
    <n v="92156.4"/>
    <n v="1993.7682692307571"/>
    <n v="2.1176470588235168E-2"/>
  </r>
  <r>
    <x v="179"/>
    <x v="2"/>
    <x v="2"/>
    <x v="0"/>
    <n v="7860.9319424999985"/>
    <n v="5758.9244999999992"/>
    <n v="2102.0074424999993"/>
    <n v="0.26739926739926739"/>
  </r>
  <r>
    <x v="179"/>
    <x v="2"/>
    <x v="0"/>
    <x v="3"/>
    <n v="68330.700900000011"/>
    <n v="60576.862499999996"/>
    <n v="7753.8384000000151"/>
    <n v="0.11347517730496474"/>
  </r>
  <r>
    <x v="180"/>
    <x v="3"/>
    <x v="1"/>
    <x v="4"/>
    <n v="18501.87528"/>
    <n v="10055.366999999998"/>
    <n v="8446.5082800000018"/>
    <n v="0.45652173913043487"/>
  </r>
  <r>
    <x v="180"/>
    <x v="2"/>
    <x v="4"/>
    <x v="2"/>
    <n v="6697.2150000000001"/>
    <n v="5287.2749999999996"/>
    <n v="1409.9400000000005"/>
    <n v="0.21052631578947376"/>
  </r>
  <r>
    <x v="181"/>
    <x v="1"/>
    <x v="0"/>
    <x v="4"/>
    <n v="5950.8539999999994"/>
    <n v="3269.7"/>
    <n v="2681.1539999999995"/>
    <n v="0.4505494505494505"/>
  </r>
  <r>
    <x v="181"/>
    <x v="1"/>
    <x v="4"/>
    <x v="4"/>
    <n v="413218.24582500005"/>
    <n v="310062.75300000003"/>
    <n v="103155.49282500002"/>
    <n v="0.24963924963924966"/>
  </r>
  <r>
    <x v="181"/>
    <x v="1"/>
    <x v="4"/>
    <x v="4"/>
    <n v="8870.3861399999987"/>
    <n v="4983.3629999999994"/>
    <n v="3887.0231399999993"/>
    <n v="0.43820224719101125"/>
  </r>
  <r>
    <x v="182"/>
    <x v="1"/>
    <x v="0"/>
    <x v="1"/>
    <n v="504818.76374999993"/>
    <n v="488382.804"/>
    <n v="16435.959749999922"/>
    <n v="3.2558139534883568E-2"/>
  </r>
  <r>
    <x v="182"/>
    <x v="2"/>
    <x v="2"/>
    <x v="3"/>
    <n v="26582.774399999998"/>
    <n v="24343.199999999997"/>
    <n v="2239.5744000000013"/>
    <n v="8.4249084249084311E-2"/>
  </r>
  <r>
    <x v="182"/>
    <x v="2"/>
    <x v="2"/>
    <x v="2"/>
    <n v="33944.906141999993"/>
    <n v="26246.061450000001"/>
    <n v="7698.8446919999915"/>
    <n v="0.22680412371134001"/>
  </r>
  <r>
    <x v="183"/>
    <x v="0"/>
    <x v="4"/>
    <x v="4"/>
    <n v="18296.17713"/>
    <n v="13200.705"/>
    <n v="5095.4721300000001"/>
    <n v="0.27849927849927852"/>
  </r>
  <r>
    <x v="184"/>
    <x v="3"/>
    <x v="3"/>
    <x v="2"/>
    <n v="35509.055399999997"/>
    <n v="26631.791549999998"/>
    <n v="8877.2638499999994"/>
    <n v="0.25"/>
  </r>
  <r>
    <x v="185"/>
    <x v="2"/>
    <x v="3"/>
    <x v="0"/>
    <n v="48008.309579999986"/>
    <n v="36369.931499999999"/>
    <n v="11638.378079999988"/>
    <n v="0.24242424242424224"/>
  </r>
  <r>
    <x v="185"/>
    <x v="4"/>
    <x v="4"/>
    <x v="0"/>
    <n v="5238.1940624999997"/>
    <n v="4108.3874999999998"/>
    <n v="1129.8065624999999"/>
    <n v="0.2156862745098039"/>
  </r>
  <r>
    <x v="185"/>
    <x v="3"/>
    <x v="4"/>
    <x v="4"/>
    <n v="210959.40599999999"/>
    <n v="166715.63999999998"/>
    <n v="44243.766000000003"/>
    <n v="0.20972644376899699"/>
  </r>
  <r>
    <x v="186"/>
    <x v="1"/>
    <x v="2"/>
    <x v="4"/>
    <n v="5310.3896999999997"/>
    <n v="4261.95"/>
    <n v="1048.4396999999999"/>
    <n v="0.19743178170144463"/>
  </r>
  <r>
    <x v="186"/>
    <x v="3"/>
    <x v="2"/>
    <x v="4"/>
    <n v="1030.276989"/>
    <n v="782.88524999999993"/>
    <n v="247.39173900000003"/>
    <n v="0.2401215805471125"/>
  </r>
  <r>
    <x v="187"/>
    <x v="4"/>
    <x v="3"/>
    <x v="4"/>
    <n v="21308.816812500001"/>
    <n v="16366.218749999998"/>
    <n v="4942.5980625000029"/>
    <n v="0.23195084485407078"/>
  </r>
  <r>
    <x v="187"/>
    <x v="3"/>
    <x v="3"/>
    <x v="2"/>
    <n v="7382.34"/>
    <n v="5536.7550000000001"/>
    <n v="1845.585"/>
    <n v="0.25"/>
  </r>
  <r>
    <x v="188"/>
    <x v="2"/>
    <x v="0"/>
    <x v="3"/>
    <n v="108461.43"/>
    <n v="96153.75"/>
    <n v="12307.679999999993"/>
    <n v="0.11347517730496448"/>
  </r>
  <r>
    <x v="189"/>
    <x v="2"/>
    <x v="1"/>
    <x v="0"/>
    <n v="5333.0659200000009"/>
    <n v="3703.518"/>
    <n v="1629.5479200000009"/>
    <n v="0.30555555555555569"/>
  </r>
  <r>
    <x v="189"/>
    <x v="1"/>
    <x v="0"/>
    <x v="1"/>
    <n v="229120.70192307691"/>
    <n v="194518.8"/>
    <n v="34601.901923076919"/>
    <n v="0.15102040816326529"/>
  </r>
  <r>
    <x v="190"/>
    <x v="0"/>
    <x v="2"/>
    <x v="3"/>
    <n v="50937.597900000001"/>
    <n v="49358.137499999997"/>
    <n v="1579.4604000000036"/>
    <n v="3.1007751937984565E-2"/>
  </r>
  <r>
    <x v="191"/>
    <x v="0"/>
    <x v="1"/>
    <x v="3"/>
    <n v="90494.787599999996"/>
    <n v="76951.349999999991"/>
    <n v="13543.437600000005"/>
    <n v="0.14965986394557829"/>
  </r>
  <r>
    <x v="192"/>
    <x v="3"/>
    <x v="3"/>
    <x v="4"/>
    <n v="1194.0074999999999"/>
    <n v="897.74999999999989"/>
    <n v="296.25750000000005"/>
    <n v="0.24812030075187974"/>
  </r>
  <r>
    <x v="193"/>
    <x v="1"/>
    <x v="2"/>
    <x v="3"/>
    <n v="652310.81999999995"/>
    <n v="590861.25"/>
    <n v="61449.569999999949"/>
    <n v="9.420289855072457E-2"/>
  </r>
  <r>
    <x v="194"/>
    <x v="3"/>
    <x v="3"/>
    <x v="4"/>
    <n v="6076.5862499999994"/>
    <n v="3574.4624999999996"/>
    <n v="2502.1237499999997"/>
    <n v="0.41176470588235292"/>
  </r>
  <r>
    <x v="195"/>
    <x v="0"/>
    <x v="2"/>
    <x v="4"/>
    <n v="944065.84387500002"/>
    <n v="815472.15749999997"/>
    <n v="128593.68637500005"/>
    <n v="0.13621262458471767"/>
  </r>
  <r>
    <x v="196"/>
    <x v="4"/>
    <x v="1"/>
    <x v="4"/>
    <n v="3793.6760399999994"/>
    <n v="2852.3880000000004"/>
    <n v="941.288039999999"/>
    <n v="0.24812030075187946"/>
  </r>
  <r>
    <x v="197"/>
    <x v="2"/>
    <x v="2"/>
    <x v="0"/>
    <n v="10291.049999999999"/>
    <n v="6860.7"/>
    <n v="3430.3499999999995"/>
    <n v="0.33333333333333331"/>
  </r>
  <r>
    <x v="197"/>
    <x v="3"/>
    <x v="1"/>
    <x v="0"/>
    <n v="3840.7871249999998"/>
    <n v="2723.9624999999996"/>
    <n v="1116.8246250000002"/>
    <n v="0.29078014184397172"/>
  </r>
  <r>
    <x v="197"/>
    <x v="2"/>
    <x v="2"/>
    <x v="4"/>
    <n v="2893.1363999999994"/>
    <n v="2348.3249999999998"/>
    <n v="544.81139999999959"/>
    <n v="0.18831168831168821"/>
  </r>
  <r>
    <x v="197"/>
    <x v="1"/>
    <x v="2"/>
    <x v="4"/>
    <n v="14423.436720000002"/>
    <n v="8195.1344999999983"/>
    <n v="6228.3022200000032"/>
    <n v="0.43181818181818199"/>
  </r>
  <r>
    <x v="198"/>
    <x v="2"/>
    <x v="0"/>
    <x v="1"/>
    <n v="39970.774038461539"/>
    <n v="38669.399999999994"/>
    <n v="1301.3740384615448"/>
    <n v="3.255813953488388E-2"/>
  </r>
  <r>
    <x v="198"/>
    <x v="0"/>
    <x v="2"/>
    <x v="4"/>
    <n v="13154.904"/>
    <n v="7648.2"/>
    <n v="5506.7040000000006"/>
    <n v="0.41860465116279072"/>
  </r>
  <r>
    <x v="199"/>
    <x v="4"/>
    <x v="0"/>
    <x v="1"/>
    <n v="457382.27163461538"/>
    <n v="409185"/>
    <n v="48197.271634615376"/>
    <n v="0.10537634408602149"/>
  </r>
  <r>
    <x v="200"/>
    <x v="4"/>
    <x v="4"/>
    <x v="0"/>
    <n v="2168.7749999999996"/>
    <n v="1606.5"/>
    <n v="562.27499999999964"/>
    <n v="0.25925925925925913"/>
  </r>
  <r>
    <x v="200"/>
    <x v="3"/>
    <x v="2"/>
    <x v="3"/>
    <n v="574771.04684999993"/>
    <n v="483814.01249999995"/>
    <n v="90957.034349999973"/>
    <n v="0.15824915824915822"/>
  </r>
  <r>
    <x v="201"/>
    <x v="2"/>
    <x v="2"/>
    <x v="1"/>
    <n v="78229.521562499998"/>
    <n v="65744.406000000003"/>
    <n v="12485.115562499996"/>
    <n v="0.15959595959595954"/>
  </r>
  <r>
    <x v="201"/>
    <x v="4"/>
    <x v="4"/>
    <x v="3"/>
    <n v="63157.184999999998"/>
    <n v="54258.75"/>
    <n v="8898.4349999999977"/>
    <n v="0.14089347079037798"/>
  </r>
  <r>
    <x v="202"/>
    <x v="3"/>
    <x v="3"/>
    <x v="0"/>
    <n v="47152.474109999996"/>
    <n v="33441.471000000005"/>
    <n v="13711.003109999991"/>
    <n v="0.29078014184397144"/>
  </r>
  <r>
    <x v="203"/>
    <x v="3"/>
    <x v="0"/>
    <x v="3"/>
    <n v="199924.19999999998"/>
    <n v="193725"/>
    <n v="6199.1999999999825"/>
    <n v="3.1007751937984412E-2"/>
  </r>
  <r>
    <x v="204"/>
    <x v="1"/>
    <x v="0"/>
    <x v="3"/>
    <n v="1065387.7552499999"/>
    <n v="975629.81249999988"/>
    <n v="89757.942750000046"/>
    <n v="8.4249084249084297E-2"/>
  </r>
  <r>
    <x v="205"/>
    <x v="0"/>
    <x v="3"/>
    <x v="0"/>
    <n v="11180.862000000001"/>
    <n v="8470.35"/>
    <n v="2710.5120000000006"/>
    <n v="0.24242424242424246"/>
  </r>
  <r>
    <x v="205"/>
    <x v="2"/>
    <x v="3"/>
    <x v="0"/>
    <n v="40546.737000000001"/>
    <n v="30034.619999999995"/>
    <n v="10512.117000000006"/>
    <n v="0.25925925925925941"/>
  </r>
  <r>
    <x v="205"/>
    <x v="2"/>
    <x v="4"/>
    <x v="3"/>
    <n v="39372.479999999996"/>
    <n v="35280"/>
    <n v="4092.4799999999959"/>
    <n v="0.10394265232974902"/>
  </r>
  <r>
    <x v="206"/>
    <x v="3"/>
    <x v="1"/>
    <x v="1"/>
    <n v="37161.670673076922"/>
    <n v="32545.8"/>
    <n v="4615.8706730769227"/>
    <n v="0.12421052631578947"/>
  </r>
  <r>
    <x v="207"/>
    <x v="1"/>
    <x v="4"/>
    <x v="4"/>
    <n v="75411"/>
    <n v="58967.999999999993"/>
    <n v="16443.000000000007"/>
    <n v="0.21804511278195499"/>
  </r>
  <r>
    <x v="207"/>
    <x v="4"/>
    <x v="0"/>
    <x v="4"/>
    <n v="39905.69184"/>
    <n v="21687.875999999997"/>
    <n v="18217.815840000003"/>
    <n v="0.45652173913043487"/>
  </r>
  <r>
    <x v="208"/>
    <x v="3"/>
    <x v="2"/>
    <x v="4"/>
    <n v="8408.24712"/>
    <n v="6673.2119999999995"/>
    <n v="1735.0351200000005"/>
    <n v="0.20634920634920639"/>
  </r>
  <r>
    <x v="208"/>
    <x v="1"/>
    <x v="4"/>
    <x v="2"/>
    <n v="3248.577738"/>
    <n v="2800.4980500000006"/>
    <n v="448.07968799999935"/>
    <n v="0.13793103448275842"/>
  </r>
  <r>
    <x v="209"/>
    <x v="4"/>
    <x v="0"/>
    <x v="1"/>
    <n v="41998.889423076922"/>
    <n v="37573.199999999997"/>
    <n v="4425.6894230769249"/>
    <n v="0.10537634408602155"/>
  </r>
  <r>
    <x v="209"/>
    <x v="0"/>
    <x v="4"/>
    <x v="1"/>
    <n v="61183.375312499993"/>
    <n v="55939.085999999996"/>
    <n v="5244.2893124999973"/>
    <n v="8.5714285714285673E-2"/>
  </r>
  <r>
    <x v="209"/>
    <x v="3"/>
    <x v="0"/>
    <x v="4"/>
    <n v="9443.5739999999987"/>
    <n v="5490.45"/>
    <n v="3953.1239999999989"/>
    <n v="0.41860465116279066"/>
  </r>
  <r>
    <x v="210"/>
    <x v="3"/>
    <x v="4"/>
    <x v="0"/>
    <n v="2491.2562499999999"/>
    <n v="1748.25"/>
    <n v="743.00624999999991"/>
    <n v="0.2982456140350877"/>
  </r>
  <r>
    <x v="211"/>
    <x v="0"/>
    <x v="4"/>
    <x v="1"/>
    <n v="15674.278846153844"/>
    <n v="13041"/>
    <n v="2633.2788461538439"/>
    <n v="0.16799999999999987"/>
  </r>
  <r>
    <x v="211"/>
    <x v="2"/>
    <x v="3"/>
    <x v="1"/>
    <n v="382933.53605769225"/>
    <n v="335369.15999999997"/>
    <n v="47564.37605769228"/>
    <n v="0.12421052631578942"/>
  </r>
  <r>
    <x v="211"/>
    <x v="4"/>
    <x v="0"/>
    <x v="1"/>
    <n v="676853.08788461529"/>
    <n v="605528.78399999999"/>
    <n v="71324.303884615307"/>
    <n v="0.10537634408602141"/>
  </r>
  <r>
    <x v="212"/>
    <x v="4"/>
    <x v="2"/>
    <x v="4"/>
    <n v="722.35799999999995"/>
    <n v="567"/>
    <n v="155.35799999999995"/>
    <n v="0.21507064364207215"/>
  </r>
  <r>
    <x v="213"/>
    <x v="2"/>
    <x v="2"/>
    <x v="4"/>
    <n v="13134.839255999997"/>
    <n v="10661.395499999999"/>
    <n v="2473.4437559999988"/>
    <n v="0.18831168831168826"/>
  </r>
  <r>
    <x v="213"/>
    <x v="4"/>
    <x v="1"/>
    <x v="3"/>
    <n v="302006.25630000001"/>
    <n v="270614.92499999999"/>
    <n v="31391.33130000002"/>
    <n v="0.10394265232974917"/>
  </r>
  <r>
    <x v="214"/>
    <x v="4"/>
    <x v="2"/>
    <x v="3"/>
    <n v="113014.44"/>
    <n v="107021.25"/>
    <n v="5993.1900000000023"/>
    <n v="5.3030303030303053E-2"/>
  </r>
  <r>
    <x v="214"/>
    <x v="3"/>
    <x v="0"/>
    <x v="3"/>
    <n v="1122440.1457499999"/>
    <n v="944814.93749999988"/>
    <n v="177625.20825000003"/>
    <n v="0.15824915824915828"/>
  </r>
  <r>
    <x v="215"/>
    <x v="0"/>
    <x v="0"/>
    <x v="4"/>
    <n v="75061.993545000019"/>
    <n v="38691.749249999993"/>
    <n v="36370.244295000026"/>
    <n v="0.48453608247422703"/>
  </r>
  <r>
    <x v="215"/>
    <x v="2"/>
    <x v="0"/>
    <x v="4"/>
    <n v="346415.73119999998"/>
    <n v="292428.864"/>
    <n v="53986.867199999979"/>
    <n v="0.15584415584415579"/>
  </r>
  <r>
    <x v="216"/>
    <x v="3"/>
    <x v="0"/>
    <x v="2"/>
    <n v="9180.0218160000004"/>
    <n v="7025.5268999999998"/>
    <n v="2154.4949160000006"/>
    <n v="0.23469387755102045"/>
  </r>
  <r>
    <x v="217"/>
    <x v="3"/>
    <x v="4"/>
    <x v="1"/>
    <n v="73764.51923076922"/>
    <n v="68191.199999999997"/>
    <n v="5573.3192307692225"/>
    <n v="7.5555555555555459E-2"/>
  </r>
  <r>
    <x v="217"/>
    <x v="4"/>
    <x v="3"/>
    <x v="4"/>
    <n v="4583.4465600000003"/>
    <n v="2604.2309999999998"/>
    <n v="1979.2155600000006"/>
    <n v="0.43181818181818193"/>
  </r>
  <r>
    <x v="218"/>
    <x v="0"/>
    <x v="2"/>
    <x v="2"/>
    <n v="9787.5369899999987"/>
    <n v="7414.8007500000012"/>
    <n v="2372.7362399999975"/>
    <n v="0.24242424242424221"/>
  </r>
  <r>
    <x v="219"/>
    <x v="3"/>
    <x v="3"/>
    <x v="0"/>
    <n v="8913.7124999999996"/>
    <n v="6063.75"/>
    <n v="2849.9624999999996"/>
    <n v="0.31972789115646255"/>
  </r>
  <r>
    <x v="219"/>
    <x v="0"/>
    <x v="3"/>
    <x v="4"/>
    <n v="62091.671039999987"/>
    <n v="32339.412"/>
    <n v="29752.259039999986"/>
    <n v="0.47916666666666657"/>
  </r>
  <r>
    <x v="220"/>
    <x v="4"/>
    <x v="0"/>
    <x v="1"/>
    <n v="47718.433774038458"/>
    <n v="41791.301999999996"/>
    <n v="5927.131774038462"/>
    <n v="0.12421052631578949"/>
  </r>
  <r>
    <x v="220"/>
    <x v="1"/>
    <x v="2"/>
    <x v="2"/>
    <n v="1986.3144"/>
    <n v="1712.3400000000001"/>
    <n v="273.97439999999983"/>
    <n v="0.13793103448275854"/>
  </r>
  <r>
    <x v="221"/>
    <x v="3"/>
    <x v="0"/>
    <x v="4"/>
    <n v="745.73100000000011"/>
    <n v="598.5"/>
    <n v="147.23100000000011"/>
    <n v="0.19743178170144474"/>
  </r>
  <r>
    <x v="222"/>
    <x v="0"/>
    <x v="1"/>
    <x v="4"/>
    <n v="2539.1205"/>
    <n v="1308.8249999999998"/>
    <n v="1230.2955000000002"/>
    <n v="0.48453608247422686"/>
  </r>
  <r>
    <x v="222"/>
    <x v="0"/>
    <x v="3"/>
    <x v="4"/>
    <n v="315259.875"/>
    <n v="272317.5"/>
    <n v="42942.375"/>
    <n v="0.13621262458471761"/>
  </r>
  <r>
    <x v="222"/>
    <x v="2"/>
    <x v="4"/>
    <x v="3"/>
    <n v="444043.78200000001"/>
    <n v="406633.5"/>
    <n v="37410.282000000007"/>
    <n v="8.4249084249084269E-2"/>
  </r>
  <r>
    <x v="223"/>
    <x v="2"/>
    <x v="2"/>
    <x v="1"/>
    <n v="78346.996874999997"/>
    <n v="76687.884000000005"/>
    <n v="1659.1128749999916"/>
    <n v="2.1176470588235189E-2"/>
  </r>
  <r>
    <x v="224"/>
    <x v="2"/>
    <x v="2"/>
    <x v="1"/>
    <n v="60598.124999999993"/>
    <n v="56019.6"/>
    <n v="4578.5249999999942"/>
    <n v="7.5555555555555473E-2"/>
  </r>
  <r>
    <x v="224"/>
    <x v="3"/>
    <x v="2"/>
    <x v="4"/>
    <n v="17498.449583999998"/>
    <n v="14533.596000000001"/>
    <n v="2964.8535839999968"/>
    <n v="0.16943521594684369"/>
  </r>
  <r>
    <x v="224"/>
    <x v="0"/>
    <x v="3"/>
    <x v="2"/>
    <n v="30657.699071999996"/>
    <n v="25267.3344"/>
    <n v="5390.3646719999961"/>
    <n v="0.17582417582417573"/>
  </r>
  <r>
    <x v="225"/>
    <x v="0"/>
    <x v="3"/>
    <x v="0"/>
    <n v="12631.626"/>
    <n v="8958.5999999999985"/>
    <n v="3673.0260000000017"/>
    <n v="0.29078014184397177"/>
  </r>
  <r>
    <x v="225"/>
    <x v="2"/>
    <x v="4"/>
    <x v="4"/>
    <n v="8993.5650000000005"/>
    <n v="4835.25"/>
    <n v="4158.3150000000005"/>
    <n v="0.4623655913978495"/>
  </r>
  <r>
    <x v="226"/>
    <x v="3"/>
    <x v="2"/>
    <x v="0"/>
    <n v="2905.875"/>
    <n v="1937.2499999999998"/>
    <n v="968.62500000000023"/>
    <n v="0.33333333333333343"/>
  </r>
  <r>
    <x v="227"/>
    <x v="4"/>
    <x v="0"/>
    <x v="4"/>
    <n v="615602.48400000005"/>
    <n v="476359.065"/>
    <n v="139243.41900000005"/>
    <n v="0.22619047619047625"/>
  </r>
  <r>
    <x v="227"/>
    <x v="3"/>
    <x v="1"/>
    <x v="4"/>
    <n v="163581.54120000001"/>
    <n v="138088.31400000001"/>
    <n v="25493.227199999994"/>
    <n v="0.15584415584415581"/>
  </r>
  <r>
    <x v="227"/>
    <x v="2"/>
    <x v="0"/>
    <x v="2"/>
    <n v="32273.621856000002"/>
    <n v="26027.114400000002"/>
    <n v="6246.5074559999994"/>
    <n v="0.19354838709677416"/>
  </r>
  <r>
    <x v="228"/>
    <x v="4"/>
    <x v="1"/>
    <x v="0"/>
    <n v="3090.7169999999996"/>
    <n v="2239.6499999999996"/>
    <n v="851.06700000000001"/>
    <n v="0.27536231884057977"/>
  </r>
  <r>
    <x v="229"/>
    <x v="0"/>
    <x v="0"/>
    <x v="0"/>
    <n v="6433.3237499999996"/>
    <n v="4929.75"/>
    <n v="1503.5737499999996"/>
    <n v="0.23371647509578539"/>
  </r>
  <r>
    <x v="229"/>
    <x v="0"/>
    <x v="4"/>
    <x v="1"/>
    <n v="45455.408653846156"/>
    <n v="37818.899999999994"/>
    <n v="7636.5086538461619"/>
    <n v="0.16800000000000018"/>
  </r>
  <r>
    <x v="229"/>
    <x v="4"/>
    <x v="2"/>
    <x v="4"/>
    <n v="223523.05499999999"/>
    <n v="166045.69799999997"/>
    <n v="57477.357000000018"/>
    <n v="0.25714285714285723"/>
  </r>
  <r>
    <x v="229"/>
    <x v="3"/>
    <x v="0"/>
    <x v="4"/>
    <n v="4360.8442500000001"/>
    <n v="2565.2024999999999"/>
    <n v="1795.6417500000002"/>
    <n v="0.41176470588235298"/>
  </r>
  <r>
    <x v="229"/>
    <x v="1"/>
    <x v="2"/>
    <x v="3"/>
    <n v="55206.899999999994"/>
    <n v="50006.25"/>
    <n v="5200.6499999999942"/>
    <n v="9.4202898550724543E-2"/>
  </r>
  <r>
    <x v="229"/>
    <x v="3"/>
    <x v="0"/>
    <x v="3"/>
    <n v="70247.520000000004"/>
    <n v="63629.999999999993"/>
    <n v="6617.5200000000114"/>
    <n v="9.4202898550724792E-2"/>
  </r>
  <r>
    <x v="230"/>
    <x v="3"/>
    <x v="4"/>
    <x v="4"/>
    <n v="144710.7984"/>
    <n v="111978.594"/>
    <n v="32732.204400000002"/>
    <n v="0.22619047619047622"/>
  </r>
  <r>
    <x v="230"/>
    <x v="0"/>
    <x v="1"/>
    <x v="3"/>
    <n v="271350.77760000003"/>
    <n v="262936.8"/>
    <n v="8413.977600000042"/>
    <n v="3.1007751937984648E-2"/>
  </r>
  <r>
    <x v="230"/>
    <x v="2"/>
    <x v="1"/>
    <x v="2"/>
    <n v="3908.1419999999994"/>
    <n v="2990.9249999999997"/>
    <n v="917.21699999999964"/>
    <n v="0.23469387755102036"/>
  </r>
  <r>
    <x v="231"/>
    <x v="2"/>
    <x v="2"/>
    <x v="4"/>
    <n v="11577.383999999998"/>
    <n v="6224.4"/>
    <n v="5352.9839999999986"/>
    <n v="0.46236559139784938"/>
  </r>
  <r>
    <x v="232"/>
    <x v="1"/>
    <x v="3"/>
    <x v="0"/>
    <n v="18793.736640000003"/>
    <n v="13051.206"/>
    <n v="5742.5306400000027"/>
    <n v="0.30555555555555564"/>
  </r>
  <r>
    <x v="232"/>
    <x v="3"/>
    <x v="3"/>
    <x v="4"/>
    <n v="5680.364004"/>
    <n v="4410.2205000000004"/>
    <n v="1270.1435039999997"/>
    <n v="0.22360248447204964"/>
  </r>
  <r>
    <x v="233"/>
    <x v="4"/>
    <x v="2"/>
    <x v="1"/>
    <n v="101336.71153846152"/>
    <n v="86032.799999999988"/>
    <n v="15303.911538461529"/>
    <n v="0.15102040816326523"/>
  </r>
  <r>
    <x v="233"/>
    <x v="4"/>
    <x v="3"/>
    <x v="3"/>
    <n v="206100.72"/>
    <n v="199710"/>
    <n v="6390.7200000000012"/>
    <n v="3.1007751937984503E-2"/>
  </r>
  <r>
    <x v="234"/>
    <x v="3"/>
    <x v="0"/>
    <x v="1"/>
    <n v="90953.001562499994"/>
    <n v="76437.27"/>
    <n v="14515.73156249999"/>
    <n v="0.15959595959595949"/>
  </r>
  <r>
    <x v="235"/>
    <x v="3"/>
    <x v="2"/>
    <x v="2"/>
    <n v="9472.8311999999987"/>
    <n v="8261.19"/>
    <n v="1211.6411999999982"/>
    <n v="0.12790697674418589"/>
  </r>
  <r>
    <x v="236"/>
    <x v="3"/>
    <x v="1"/>
    <x v="4"/>
    <n v="95661.72"/>
    <n v="80753.399999999994"/>
    <n v="14908.320000000007"/>
    <n v="0.15584415584415592"/>
  </r>
  <r>
    <x v="236"/>
    <x v="1"/>
    <x v="4"/>
    <x v="4"/>
    <n v="9993.2275800000007"/>
    <n v="5372.7030000000004"/>
    <n v="4620.5245800000002"/>
    <n v="0.46236559139784944"/>
  </r>
  <r>
    <x v="237"/>
    <x v="1"/>
    <x v="4"/>
    <x v="4"/>
    <n v="2397.3156899999999"/>
    <n v="1802.4929999999997"/>
    <n v="594.82269000000019"/>
    <n v="0.2481203007518798"/>
  </r>
  <r>
    <x v="237"/>
    <x v="1"/>
    <x v="1"/>
    <x v="4"/>
    <n v="10354.485959999998"/>
    <n v="5689.2780000000002"/>
    <n v="4665.2079599999979"/>
    <n v="0.45054945054945045"/>
  </r>
  <r>
    <x v="237"/>
    <x v="0"/>
    <x v="1"/>
    <x v="2"/>
    <n v="9518.0399999999991"/>
    <n v="7138.53"/>
    <n v="2379.5099999999993"/>
    <n v="0.24999999999999994"/>
  </r>
  <r>
    <x v="238"/>
    <x v="2"/>
    <x v="0"/>
    <x v="0"/>
    <n v="53912.131874999999"/>
    <n v="42284.024999999994"/>
    <n v="11628.106875000005"/>
    <n v="0.21568627450980402"/>
  </r>
  <r>
    <x v="238"/>
    <x v="3"/>
    <x v="0"/>
    <x v="1"/>
    <n v="68289.302812499998"/>
    <n v="57390.606"/>
    <n v="10898.696812499998"/>
    <n v="0.15959595959595957"/>
  </r>
  <r>
    <x v="238"/>
    <x v="2"/>
    <x v="3"/>
    <x v="1"/>
    <n v="286236.00216346153"/>
    <n v="267582.42"/>
    <n v="18653.582163461542"/>
    <n v="6.5168539325842711E-2"/>
  </r>
  <r>
    <x v="239"/>
    <x v="2"/>
    <x v="3"/>
    <x v="4"/>
    <n v="212316.09839999999"/>
    <n v="169591.96799999999"/>
    <n v="42724.130399999995"/>
    <n v="0.20122887864823347"/>
  </r>
  <r>
    <x v="239"/>
    <x v="4"/>
    <x v="3"/>
    <x v="3"/>
    <n v="32381.086500000001"/>
    <n v="27534.9375"/>
    <n v="4846.1490000000013"/>
    <n v="0.14965986394557826"/>
  </r>
  <r>
    <x v="240"/>
    <x v="0"/>
    <x v="4"/>
    <x v="1"/>
    <n v="88536.050480769234"/>
    <n v="75940.2"/>
    <n v="12595.850480769237"/>
    <n v="0.14226804123711348"/>
  </r>
  <r>
    <x v="240"/>
    <x v="1"/>
    <x v="0"/>
    <x v="1"/>
    <n v="77813.771538461529"/>
    <n v="66062.304000000004"/>
    <n v="11751.467538461526"/>
    <n v="0.15102040816326515"/>
  </r>
  <r>
    <x v="240"/>
    <x v="0"/>
    <x v="4"/>
    <x v="4"/>
    <n v="16456.545000000002"/>
    <n v="9245.25"/>
    <n v="7211.2950000000019"/>
    <n v="0.43820224719101131"/>
  </r>
  <r>
    <x v="240"/>
    <x v="2"/>
    <x v="4"/>
    <x v="3"/>
    <n v="594868.95720000006"/>
    <n v="533036.69999999995"/>
    <n v="61832.257200000109"/>
    <n v="0.10394265232974928"/>
  </r>
  <r>
    <x v="240"/>
    <x v="4"/>
    <x v="1"/>
    <x v="2"/>
    <n v="8566.4779200000012"/>
    <n v="7060.2839999999987"/>
    <n v="1506.1939200000024"/>
    <n v="0.17582417582417609"/>
  </r>
  <r>
    <x v="241"/>
    <x v="2"/>
    <x v="2"/>
    <x v="1"/>
    <n v="53308.013365384621"/>
    <n v="49834.008000000002"/>
    <n v="3474.0053653846189"/>
    <n v="6.5168539325842753E-2"/>
  </r>
  <r>
    <x v="241"/>
    <x v="0"/>
    <x v="0"/>
    <x v="2"/>
    <n v="7223.2776000000003"/>
    <n v="6299.37"/>
    <n v="923.90760000000046"/>
    <n v="0.12790697674418611"/>
  </r>
  <r>
    <x v="242"/>
    <x v="3"/>
    <x v="3"/>
    <x v="1"/>
    <n v="128165.62499999999"/>
    <n v="106633.79999999999"/>
    <n v="21531.824999999997"/>
    <n v="0.16799999999999998"/>
  </r>
  <r>
    <x v="242"/>
    <x v="1"/>
    <x v="3"/>
    <x v="1"/>
    <n v="95504.0625"/>
    <n v="81081"/>
    <n v="14423.0625"/>
    <n v="0.15102040816326531"/>
  </r>
  <r>
    <x v="242"/>
    <x v="0"/>
    <x v="3"/>
    <x v="2"/>
    <n v="22518.24624"/>
    <n v="18159.875999999997"/>
    <n v="4358.3702400000038"/>
    <n v="0.19354838709677435"/>
  </r>
  <r>
    <x v="242"/>
    <x v="3"/>
    <x v="4"/>
    <x v="2"/>
    <n v="9825.5429999999997"/>
    <n v="8568.7875000000004"/>
    <n v="1256.7554999999993"/>
    <n v="0.12790697674418597"/>
  </r>
  <r>
    <x v="243"/>
    <x v="4"/>
    <x v="4"/>
    <x v="0"/>
    <n v="4170.7574999999997"/>
    <n v="3055.5"/>
    <n v="1115.2574999999997"/>
    <n v="0.26739926739926734"/>
  </r>
  <r>
    <x v="244"/>
    <x v="4"/>
    <x v="2"/>
    <x v="4"/>
    <n v="530.96399999999994"/>
    <n v="441"/>
    <n v="89.963999999999942"/>
    <n v="0.16943521594684377"/>
  </r>
  <r>
    <x v="245"/>
    <x v="1"/>
    <x v="2"/>
    <x v="1"/>
    <n v="99772.00961538461"/>
    <n v="90228.599999999991"/>
    <n v="9543.4096153846185"/>
    <n v="9.5652173913043509E-2"/>
  </r>
  <r>
    <x v="245"/>
    <x v="4"/>
    <x v="0"/>
    <x v="1"/>
    <n v="19185.317307692305"/>
    <n v="18779.04"/>
    <n v="406.27730769230402"/>
    <n v="2.1176470588235106E-2"/>
  </r>
  <r>
    <x v="245"/>
    <x v="0"/>
    <x v="2"/>
    <x v="3"/>
    <n v="1464942.0240000002"/>
    <n v="1341522"/>
    <n v="123420.02400000021"/>
    <n v="8.424908424908438E-2"/>
  </r>
  <r>
    <x v="246"/>
    <x v="4"/>
    <x v="2"/>
    <x v="2"/>
    <n v="1387.26"/>
    <n v="1040.4449999999999"/>
    <n v="346.81500000000005"/>
    <n v="0.25000000000000006"/>
  </r>
  <r>
    <x v="247"/>
    <x v="4"/>
    <x v="3"/>
    <x v="3"/>
    <n v="557727.1875"/>
    <n v="489234.37499999994"/>
    <n v="68492.812500000058"/>
    <n v="0.12280701754385975"/>
  </r>
  <r>
    <x v="248"/>
    <x v="4"/>
    <x v="1"/>
    <x v="4"/>
    <n v="2873.9969999999998"/>
    <n v="2160.8999999999996"/>
    <n v="713.09700000000021"/>
    <n v="0.2481203007518798"/>
  </r>
  <r>
    <x v="248"/>
    <x v="4"/>
    <x v="0"/>
    <x v="4"/>
    <n v="3800.9789999999998"/>
    <n v="2088.4499999999998"/>
    <n v="1712.529"/>
    <n v="0.45054945054945056"/>
  </r>
  <r>
    <x v="249"/>
    <x v="1"/>
    <x v="4"/>
    <x v="4"/>
    <n v="6474.1551840000002"/>
    <n v="5026.518"/>
    <n v="1447.6371840000002"/>
    <n v="0.2236024844720497"/>
  </r>
  <r>
    <x v="250"/>
    <x v="4"/>
    <x v="0"/>
    <x v="4"/>
    <n v="503538.21"/>
    <n v="374056.95600000001"/>
    <n v="129481.25400000002"/>
    <n v="0.25714285714285717"/>
  </r>
  <r>
    <x v="250"/>
    <x v="0"/>
    <x v="2"/>
    <x v="2"/>
    <n v="5407.4789999999994"/>
    <n v="4096.5749999999998"/>
    <n v="1310.9039999999995"/>
    <n v="0.24242424242424238"/>
  </r>
  <r>
    <x v="251"/>
    <x v="0"/>
    <x v="0"/>
    <x v="1"/>
    <n v="96593.538461538454"/>
    <n v="91324.799999999988"/>
    <n v="5268.7384615384653"/>
    <n v="5.4545454545454591E-2"/>
  </r>
  <r>
    <x v="251"/>
    <x v="4"/>
    <x v="2"/>
    <x v="4"/>
    <n v="3626.2674000000002"/>
    <n v="1970.7974999999999"/>
    <n v="1655.4699000000003"/>
    <n v="0.45652173913043481"/>
  </r>
  <r>
    <x v="251"/>
    <x v="3"/>
    <x v="1"/>
    <x v="2"/>
    <n v="2936.6819999999998"/>
    <n v="2591.19"/>
    <n v="345.49199999999973"/>
    <n v="0.11764705882352933"/>
  </r>
  <r>
    <x v="252"/>
    <x v="4"/>
    <x v="1"/>
    <x v="2"/>
    <n v="36584.030699999996"/>
    <n v="28882.129500000003"/>
    <n v="7701.901199999993"/>
    <n v="0.21052631578947351"/>
  </r>
  <r>
    <x v="253"/>
    <x v="3"/>
    <x v="1"/>
    <x v="0"/>
    <n v="37134.964755000001"/>
    <n v="27816.452999999998"/>
    <n v="9318.5117550000032"/>
    <n v="0.25093632958801504"/>
  </r>
  <r>
    <x v="254"/>
    <x v="3"/>
    <x v="2"/>
    <x v="0"/>
    <n v="21600.446174999997"/>
    <n v="14545.754999999999"/>
    <n v="7054.6911749999981"/>
    <n v="0.32659932659932656"/>
  </r>
  <r>
    <x v="254"/>
    <x v="3"/>
    <x v="3"/>
    <x v="0"/>
    <n v="49586.254987499997"/>
    <n v="35545.702499999999"/>
    <n v="14040.552487499997"/>
    <n v="0.28315412186379924"/>
  </r>
  <r>
    <x v="255"/>
    <x v="0"/>
    <x v="4"/>
    <x v="4"/>
    <n v="24507.853019999999"/>
    <n v="14084.973000000002"/>
    <n v="10422.880019999997"/>
    <n v="0.42528735632183895"/>
  </r>
  <r>
    <x v="256"/>
    <x v="0"/>
    <x v="1"/>
    <x v="0"/>
    <n v="32031.100079999997"/>
    <n v="22243.819500000001"/>
    <n v="9787.2805799999951"/>
    <n v="0.30555555555555541"/>
  </r>
  <r>
    <x v="256"/>
    <x v="3"/>
    <x v="2"/>
    <x v="1"/>
    <n v="81915.416826923072"/>
    <n v="75726.252000000008"/>
    <n v="6189.1648269230645"/>
    <n v="7.5555555555555404E-2"/>
  </r>
  <r>
    <x v="256"/>
    <x v="4"/>
    <x v="4"/>
    <x v="4"/>
    <n v="235132.38"/>
    <n v="174669.76799999998"/>
    <n v="60462.612000000023"/>
    <n v="0.25714285714285723"/>
  </r>
  <r>
    <x v="256"/>
    <x v="4"/>
    <x v="1"/>
    <x v="3"/>
    <n v="59851.990800000007"/>
    <n v="50894.549999999996"/>
    <n v="8957.4408000000112"/>
    <n v="0.1496598639455784"/>
  </r>
  <r>
    <x v="256"/>
    <x v="4"/>
    <x v="2"/>
    <x v="3"/>
    <n v="133893.2322"/>
    <n v="115028.54999999999"/>
    <n v="18864.68220000001"/>
    <n v="0.14089347079037809"/>
  </r>
  <r>
    <x v="257"/>
    <x v="3"/>
    <x v="4"/>
    <x v="3"/>
    <n v="120578.22"/>
    <n v="108045"/>
    <n v="12533.220000000001"/>
    <n v="0.10394265232974911"/>
  </r>
  <r>
    <x v="257"/>
    <x v="2"/>
    <x v="1"/>
    <x v="3"/>
    <n v="165945.98790000001"/>
    <n v="147115.23749999999"/>
    <n v="18830.750400000019"/>
    <n v="0.11347517730496465"/>
  </r>
  <r>
    <x v="258"/>
    <x v="1"/>
    <x v="3"/>
    <x v="4"/>
    <n v="4695.768"/>
    <n v="3811.4999999999995"/>
    <n v="884.26800000000048"/>
    <n v="0.1883116883116884"/>
  </r>
  <r>
    <x v="258"/>
    <x v="4"/>
    <x v="4"/>
    <x v="4"/>
    <n v="8726.8749119999993"/>
    <n v="6775.5240000000003"/>
    <n v="1951.350911999999"/>
    <n v="0.22360248447204958"/>
  </r>
  <r>
    <x v="259"/>
    <x v="4"/>
    <x v="0"/>
    <x v="4"/>
    <n v="185550.75"/>
    <n v="153153"/>
    <n v="32397.75"/>
    <n v="0.17460317460317459"/>
  </r>
  <r>
    <x v="259"/>
    <x v="0"/>
    <x v="1"/>
    <x v="3"/>
    <n v="143711.82"/>
    <n v="119759.84999999999"/>
    <n v="23951.970000000016"/>
    <n v="0.16666666666666677"/>
  </r>
  <r>
    <x v="259"/>
    <x v="1"/>
    <x v="0"/>
    <x v="3"/>
    <n v="454261.5"/>
    <n v="398475"/>
    <n v="55786.5"/>
    <n v="0.12280701754385964"/>
  </r>
  <r>
    <x v="260"/>
    <x v="2"/>
    <x v="4"/>
    <x v="1"/>
    <n v="346256.80031249998"/>
    <n v="316577.64600000001"/>
    <n v="29679.154312499973"/>
    <n v="8.5714285714285646E-2"/>
  </r>
  <r>
    <x v="260"/>
    <x v="1"/>
    <x v="2"/>
    <x v="4"/>
    <n v="56032.192439999992"/>
    <n v="30452.2785"/>
    <n v="25579.913939999991"/>
    <n v="0.4565217391304347"/>
  </r>
  <r>
    <x v="261"/>
    <x v="1"/>
    <x v="2"/>
    <x v="0"/>
    <n v="23486.863679999999"/>
    <n v="16310.322"/>
    <n v="7176.5416799999985"/>
    <n v="0.30555555555555552"/>
  </r>
  <r>
    <x v="261"/>
    <x v="2"/>
    <x v="3"/>
    <x v="2"/>
    <n v="3803.8260960000002"/>
    <n v="3317.2901999999999"/>
    <n v="486.53589600000032"/>
    <n v="0.12790697674418613"/>
  </r>
  <r>
    <x v="262"/>
    <x v="4"/>
    <x v="1"/>
    <x v="4"/>
    <n v="123438.10499999998"/>
    <n v="91696.877999999997"/>
    <n v="31741.226999999984"/>
    <n v="0.25714285714285706"/>
  </r>
  <r>
    <x v="263"/>
    <x v="3"/>
    <x v="2"/>
    <x v="4"/>
    <n v="39951.88596"/>
    <n v="22960.853999999999"/>
    <n v="16991.03196"/>
    <n v="0.42528735632183912"/>
  </r>
  <r>
    <x v="263"/>
    <x v="4"/>
    <x v="3"/>
    <x v="3"/>
    <n v="223315.3125"/>
    <n v="195890.625"/>
    <n v="27424.6875"/>
    <n v="0.12280701754385964"/>
  </r>
  <r>
    <x v="264"/>
    <x v="0"/>
    <x v="3"/>
    <x v="0"/>
    <n v="25515.884520000003"/>
    <n v="18096.371999999999"/>
    <n v="7419.5125200000039"/>
    <n v="0.29078014184397172"/>
  </r>
  <r>
    <x v="265"/>
    <x v="0"/>
    <x v="2"/>
    <x v="4"/>
    <n v="3533.2335674999999"/>
    <n v="2773.3387499999999"/>
    <n v="759.89481750000004"/>
    <n v="0.21507064364207223"/>
  </r>
  <r>
    <x v="265"/>
    <x v="4"/>
    <x v="0"/>
    <x v="2"/>
    <n v="3331.3517999999995"/>
    <n v="2871.855"/>
    <n v="459.49679999999944"/>
    <n v="0.13793103448275848"/>
  </r>
  <r>
    <x v="266"/>
    <x v="3"/>
    <x v="0"/>
    <x v="4"/>
    <n v="36938.159999999996"/>
    <n v="28583.1"/>
    <n v="8355.0599999999977"/>
    <n v="0.22619047619047616"/>
  </r>
  <r>
    <x v="266"/>
    <x v="4"/>
    <x v="0"/>
    <x v="4"/>
    <n v="11338.771499999999"/>
    <n v="8099.1225000000004"/>
    <n v="3239.6489999999985"/>
    <n v="0.28571428571428559"/>
  </r>
  <r>
    <x v="267"/>
    <x v="0"/>
    <x v="1"/>
    <x v="4"/>
    <n v="5305.0535999999993"/>
    <n v="4306.0499999999993"/>
    <n v="999.00360000000001"/>
    <n v="0.18831168831168835"/>
  </r>
  <r>
    <x v="267"/>
    <x v="0"/>
    <x v="1"/>
    <x v="3"/>
    <n v="189094.5"/>
    <n v="157578.75"/>
    <n v="31515.75"/>
    <n v="0.16666666666666666"/>
  </r>
  <r>
    <x v="267"/>
    <x v="0"/>
    <x v="2"/>
    <x v="3"/>
    <n v="121579.92"/>
    <n v="117809.99999999999"/>
    <n v="3769.9200000000128"/>
    <n v="3.1007751937984603E-2"/>
  </r>
  <r>
    <x v="268"/>
    <x v="3"/>
    <x v="3"/>
    <x v="3"/>
    <n v="299601.85499999998"/>
    <n v="290311.875"/>
    <n v="9289.9799999999814"/>
    <n v="3.1007751937984437E-2"/>
  </r>
  <r>
    <x v="269"/>
    <x v="1"/>
    <x v="2"/>
    <x v="4"/>
    <n v="5632.7827499999994"/>
    <n v="4235.1750000000002"/>
    <n v="1397.6077499999992"/>
    <n v="0.24812030075187957"/>
  </r>
  <r>
    <x v="269"/>
    <x v="0"/>
    <x v="4"/>
    <x v="4"/>
    <n v="18394.109999999997"/>
    <n v="15888.599999999999"/>
    <n v="2505.5099999999984"/>
    <n v="0.13621262458471756"/>
  </r>
  <r>
    <x v="269"/>
    <x v="0"/>
    <x v="2"/>
    <x v="3"/>
    <n v="134622.24300000002"/>
    <n v="120629.24999999999"/>
    <n v="13992.993000000031"/>
    <n v="0.10394265232974932"/>
  </r>
  <r>
    <x v="270"/>
    <x v="0"/>
    <x v="2"/>
    <x v="0"/>
    <n v="6482.2275"/>
    <n v="5084.0999999999995"/>
    <n v="1398.1275000000005"/>
    <n v="0.21568627450980399"/>
  </r>
  <r>
    <x v="271"/>
    <x v="3"/>
    <x v="0"/>
    <x v="0"/>
    <n v="10552.295249999999"/>
    <n v="8086.0499999999993"/>
    <n v="2466.2452499999999"/>
    <n v="0.23371647509578544"/>
  </r>
  <r>
    <x v="271"/>
    <x v="1"/>
    <x v="0"/>
    <x v="1"/>
    <n v="46563.057692307688"/>
    <n v="42109.2"/>
    <n v="4453.8576923076907"/>
    <n v="9.5652173913043453E-2"/>
  </r>
  <r>
    <x v="271"/>
    <x v="2"/>
    <x v="2"/>
    <x v="4"/>
    <n v="5648.4540000000006"/>
    <n v="3322.62"/>
    <n v="2325.8340000000007"/>
    <n v="0.41176470588235303"/>
  </r>
  <r>
    <x v="272"/>
    <x v="2"/>
    <x v="1"/>
    <x v="4"/>
    <n v="38644.83"/>
    <n v="31203.899999999998"/>
    <n v="7440.9300000000039"/>
    <n v="0.19254658385093176"/>
  </r>
  <r>
    <x v="273"/>
    <x v="3"/>
    <x v="2"/>
    <x v="1"/>
    <n v="170462.00769230767"/>
    <n v="149288.83199999999"/>
    <n v="21173.175692307675"/>
    <n v="0.1242105263157894"/>
  </r>
  <r>
    <x v="273"/>
    <x v="0"/>
    <x v="1"/>
    <x v="4"/>
    <n v="10784.97"/>
    <n v="5676.2999999999993"/>
    <n v="5108.67"/>
    <n v="0.47368421052631582"/>
  </r>
  <r>
    <x v="273"/>
    <x v="1"/>
    <x v="4"/>
    <x v="4"/>
    <n v="1045.41255"/>
    <n v="820.57499999999993"/>
    <n v="224.83755000000008"/>
    <n v="0.21507064364207229"/>
  </r>
  <r>
    <x v="273"/>
    <x v="1"/>
    <x v="3"/>
    <x v="4"/>
    <n v="4872.2561999999998"/>
    <n v="3480.183"/>
    <n v="1392.0731999999998"/>
    <n v="0.2857142857142857"/>
  </r>
  <r>
    <x v="274"/>
    <x v="2"/>
    <x v="1"/>
    <x v="0"/>
    <n v="8811.1799999999985"/>
    <n v="6526.7999999999993"/>
    <n v="2284.3799999999992"/>
    <n v="0.25925925925925919"/>
  </r>
  <r>
    <x v="274"/>
    <x v="2"/>
    <x v="2"/>
    <x v="4"/>
    <n v="8731.4374979999993"/>
    <n v="7252.0244999999995"/>
    <n v="1479.4129979999998"/>
    <n v="0.16943521594684385"/>
  </r>
  <r>
    <x v="275"/>
    <x v="1"/>
    <x v="4"/>
    <x v="0"/>
    <n v="44465.557499999995"/>
    <n v="29643.704999999998"/>
    <n v="14821.852499999997"/>
    <n v="0.33333333333333331"/>
  </r>
  <r>
    <x v="275"/>
    <x v="4"/>
    <x v="0"/>
    <x v="4"/>
    <n v="1366.47"/>
    <n v="759.15"/>
    <n v="607.32000000000005"/>
    <n v="0.44444444444444448"/>
  </r>
  <r>
    <x v="275"/>
    <x v="1"/>
    <x v="4"/>
    <x v="3"/>
    <n v="193411.35450000002"/>
    <n v="189618.97499999998"/>
    <n v="3792.3795000000391"/>
    <n v="1.9607843137255103E-2"/>
  </r>
  <r>
    <x v="276"/>
    <x v="0"/>
    <x v="0"/>
    <x v="2"/>
    <n v="16022.641319999999"/>
    <n v="12262.225499999999"/>
    <n v="3760.4158200000002"/>
    <n v="0.23469387755102045"/>
  </r>
  <r>
    <x v="277"/>
    <x v="1"/>
    <x v="2"/>
    <x v="0"/>
    <n v="22026.090240000001"/>
    <n v="16498.944"/>
    <n v="5527.1462400000019"/>
    <n v="0.25093632958801504"/>
  </r>
  <r>
    <x v="277"/>
    <x v="4"/>
    <x v="0"/>
    <x v="4"/>
    <n v="20773.6515"/>
    <n v="12219.795"/>
    <n v="8553.8564999999999"/>
    <n v="0.41176470588235292"/>
  </r>
  <r>
    <x v="277"/>
    <x v="3"/>
    <x v="0"/>
    <x v="3"/>
    <n v="332736.67349999998"/>
    <n v="291874.27499999997"/>
    <n v="40862.39850000001"/>
    <n v="0.12280701754385968"/>
  </r>
  <r>
    <x v="278"/>
    <x v="1"/>
    <x v="1"/>
    <x v="4"/>
    <n v="75271.732199999999"/>
    <n v="62827.128000000004"/>
    <n v="12444.604199999994"/>
    <n v="0.16532905296950234"/>
  </r>
  <r>
    <x v="279"/>
    <x v="4"/>
    <x v="0"/>
    <x v="0"/>
    <n v="4195.8"/>
    <n v="2797.2"/>
    <n v="1398.6000000000004"/>
    <n v="0.33333333333333343"/>
  </r>
  <r>
    <x v="279"/>
    <x v="4"/>
    <x v="0"/>
    <x v="4"/>
    <n v="3347.8515000000002"/>
    <n v="1859.9175"/>
    <n v="1487.9340000000002"/>
    <n v="0.44444444444444448"/>
  </r>
  <r>
    <x v="280"/>
    <x v="1"/>
    <x v="4"/>
    <x v="3"/>
    <n v="144268.42499999999"/>
    <n v="126551.24999999999"/>
    <n v="17717.175000000003"/>
    <n v="0.12280701754385968"/>
  </r>
  <r>
    <x v="280"/>
    <x v="3"/>
    <x v="1"/>
    <x v="3"/>
    <n v="796810.08959999995"/>
    <n v="691675.42499999993"/>
    <n v="105134.66460000002"/>
    <n v="0.13194444444444448"/>
  </r>
  <r>
    <x v="280"/>
    <x v="3"/>
    <x v="2"/>
    <x v="3"/>
    <n v="413696.66625000001"/>
    <n v="362891.8125"/>
    <n v="50804.853750000009"/>
    <n v="0.12280701754385967"/>
  </r>
  <r>
    <x v="281"/>
    <x v="0"/>
    <x v="0"/>
    <x v="4"/>
    <n v="308144.33999999997"/>
    <n v="233578.8"/>
    <n v="74565.539999999979"/>
    <n v="0.24198250728862969"/>
  </r>
  <r>
    <x v="281"/>
    <x v="2"/>
    <x v="3"/>
    <x v="4"/>
    <n v="58271.534999999996"/>
    <n v="47051.549999999996"/>
    <n v="11219.985000000001"/>
    <n v="0.19254658385093171"/>
  </r>
  <r>
    <x v="282"/>
    <x v="2"/>
    <x v="1"/>
    <x v="0"/>
    <n v="10871.847"/>
    <n v="7878.15"/>
    <n v="2993.6970000000001"/>
    <n v="0.27536231884057971"/>
  </r>
  <r>
    <x v="282"/>
    <x v="4"/>
    <x v="4"/>
    <x v="0"/>
    <n v="10539.344969999998"/>
    <n v="7637.2065000000011"/>
    <n v="2902.1384699999971"/>
    <n v="0.27536231884057949"/>
  </r>
  <r>
    <x v="282"/>
    <x v="2"/>
    <x v="2"/>
    <x v="1"/>
    <n v="84879.627403846156"/>
    <n v="75127.5"/>
    <n v="9752.1274038461561"/>
    <n v="0.11489361702127662"/>
  </r>
  <r>
    <x v="282"/>
    <x v="0"/>
    <x v="0"/>
    <x v="1"/>
    <n v="92446.078846153847"/>
    <n v="85461.263999999981"/>
    <n v="6984.8148461538658"/>
    <n v="7.5555555555555765E-2"/>
  </r>
  <r>
    <x v="282"/>
    <x v="0"/>
    <x v="2"/>
    <x v="4"/>
    <n v="128617.65"/>
    <n v="100573.2"/>
    <n v="28044.449999999997"/>
    <n v="0.21804511278195488"/>
  </r>
  <r>
    <x v="282"/>
    <x v="0"/>
    <x v="0"/>
    <x v="4"/>
    <n v="5547.4593929999992"/>
    <n v="4260.7214999999997"/>
    <n v="1286.7378929999995"/>
    <n v="0.23195084485407061"/>
  </r>
  <r>
    <x v="282"/>
    <x v="0"/>
    <x v="2"/>
    <x v="3"/>
    <n v="21861.63"/>
    <n v="21183.75"/>
    <n v="677.88000000000102"/>
    <n v="3.1007751937984541E-2"/>
  </r>
  <r>
    <x v="283"/>
    <x v="2"/>
    <x v="3"/>
    <x v="3"/>
    <n v="105518.2464"/>
    <n v="94550.399999999994"/>
    <n v="10967.846400000009"/>
    <n v="0.1039426523297492"/>
  </r>
  <r>
    <x v="284"/>
    <x v="4"/>
    <x v="4"/>
    <x v="0"/>
    <n v="4787.1625725000004"/>
    <n v="3223.6785"/>
    <n v="1563.4840725000004"/>
    <n v="0.32659932659932667"/>
  </r>
  <r>
    <x v="285"/>
    <x v="1"/>
    <x v="3"/>
    <x v="1"/>
    <n v="95504.0625"/>
    <n v="81081"/>
    <n v="14423.0625"/>
    <n v="0.15102040816326531"/>
  </r>
  <r>
    <x v="285"/>
    <x v="3"/>
    <x v="2"/>
    <x v="4"/>
    <n v="4619.9160000000002"/>
    <n v="3666.6"/>
    <n v="953.31600000000026"/>
    <n v="0.20634920634920639"/>
  </r>
  <r>
    <x v="286"/>
    <x v="4"/>
    <x v="3"/>
    <x v="1"/>
    <n v="94323.366778846132"/>
    <n v="83486.213999999993"/>
    <n v="10837.152778846139"/>
    <n v="0.11489361702127647"/>
  </r>
  <r>
    <x v="286"/>
    <x v="0"/>
    <x v="2"/>
    <x v="4"/>
    <n v="28002.385152000003"/>
    <n v="20835.107999999997"/>
    <n v="7167.277152000006"/>
    <n v="0.25595238095238115"/>
  </r>
  <r>
    <x v="286"/>
    <x v="1"/>
    <x v="3"/>
    <x v="3"/>
    <n v="456182.25975000008"/>
    <n v="436956.1875"/>
    <n v="19226.072250000085"/>
    <n v="4.2145593869731976E-2"/>
  </r>
  <r>
    <x v="287"/>
    <x v="1"/>
    <x v="1"/>
    <x v="4"/>
    <n v="2408.8427999999999"/>
    <n v="1400.49"/>
    <n v="1008.3527999999999"/>
    <n v="0.41860465116279066"/>
  </r>
  <r>
    <x v="287"/>
    <x v="3"/>
    <x v="2"/>
    <x v="2"/>
    <n v="46985.242751999998"/>
    <n v="40975.502399999998"/>
    <n v="6009.7403520000007"/>
    <n v="0.12790697674418608"/>
  </r>
  <r>
    <x v="288"/>
    <x v="4"/>
    <x v="3"/>
    <x v="4"/>
    <n v="14842.547999999999"/>
    <n v="8530.1999999999989"/>
    <n v="6312.348"/>
    <n v="0.42528735632183912"/>
  </r>
  <r>
    <x v="289"/>
    <x v="4"/>
    <x v="3"/>
    <x v="4"/>
    <n v="2428.5100454999997"/>
    <n v="1752.17175"/>
    <n v="676.33829549999973"/>
    <n v="0.27849927849927841"/>
  </r>
  <r>
    <x v="289"/>
    <x v="3"/>
    <x v="0"/>
    <x v="3"/>
    <n v="801696.04200000002"/>
    <n v="776837.25"/>
    <n v="24858.792000000016"/>
    <n v="3.1007751937984517E-2"/>
  </r>
  <r>
    <x v="290"/>
    <x v="3"/>
    <x v="2"/>
    <x v="0"/>
    <n v="9910.4512500000001"/>
    <n v="7341.0749999999998"/>
    <n v="2569.3762500000003"/>
    <n v="0.2592592592592593"/>
  </r>
  <r>
    <x v="291"/>
    <x v="4"/>
    <x v="2"/>
    <x v="1"/>
    <n v="127977.07932692306"/>
    <n v="119636.99999999999"/>
    <n v="8340.079326923078"/>
    <n v="6.5168539325842711E-2"/>
  </r>
  <r>
    <x v="291"/>
    <x v="2"/>
    <x v="2"/>
    <x v="4"/>
    <n v="10227.107520000001"/>
    <n v="8396.64"/>
    <n v="1830.467520000002"/>
    <n v="0.17898193760262743"/>
  </r>
  <r>
    <x v="291"/>
    <x v="2"/>
    <x v="3"/>
    <x v="3"/>
    <n v="225629.14500000002"/>
    <n v="188024.28749999998"/>
    <n v="37604.857500000042"/>
    <n v="0.16666666666666685"/>
  </r>
  <r>
    <x v="292"/>
    <x v="4"/>
    <x v="1"/>
    <x v="4"/>
    <n v="192175.67249999999"/>
    <n v="147174.29999999999"/>
    <n v="45001.372499999998"/>
    <n v="0.2341678939617084"/>
  </r>
  <r>
    <x v="293"/>
    <x v="1"/>
    <x v="2"/>
    <x v="4"/>
    <n v="790.22789999999986"/>
    <n v="570.15"/>
    <n v="220.07789999999989"/>
    <n v="0.27849927849927841"/>
  </r>
  <r>
    <x v="293"/>
    <x v="4"/>
    <x v="4"/>
    <x v="4"/>
    <n v="310845.46499999997"/>
    <n v="235626.3"/>
    <n v="75219.164999999979"/>
    <n v="0.24198250728862969"/>
  </r>
  <r>
    <x v="293"/>
    <x v="3"/>
    <x v="1"/>
    <x v="3"/>
    <n v="195104.69999999998"/>
    <n v="180652.5"/>
    <n v="14452.199999999983"/>
    <n v="7.4074074074073987E-2"/>
  </r>
  <r>
    <x v="294"/>
    <x v="1"/>
    <x v="0"/>
    <x v="4"/>
    <n v="9267.9955830000017"/>
    <n v="7697.6707500000002"/>
    <n v="1570.3248330000015"/>
    <n v="0.16943521594684399"/>
  </r>
  <r>
    <x v="295"/>
    <x v="1"/>
    <x v="2"/>
    <x v="0"/>
    <n v="7598.7449999999999"/>
    <n v="5890.5"/>
    <n v="1708.2449999999999"/>
    <n v="0.22480620155038758"/>
  </r>
  <r>
    <x v="295"/>
    <x v="3"/>
    <x v="4"/>
    <x v="2"/>
    <n v="6953.0075999999999"/>
    <n v="5267.43"/>
    <n v="1685.5775999999996"/>
    <n v="0.24242424242424238"/>
  </r>
  <r>
    <x v="296"/>
    <x v="0"/>
    <x v="4"/>
    <x v="0"/>
    <n v="9346.0499999999993"/>
    <n v="7244.9999999999991"/>
    <n v="2101.0500000000002"/>
    <n v="0.22480620155038764"/>
  </r>
  <r>
    <x v="297"/>
    <x v="4"/>
    <x v="1"/>
    <x v="1"/>
    <n v="46555.889423076915"/>
    <n v="45570"/>
    <n v="985.88942307691468"/>
    <n v="2.1176470588235116E-2"/>
  </r>
  <r>
    <x v="297"/>
    <x v="2"/>
    <x v="3"/>
    <x v="3"/>
    <n v="326922.75"/>
    <n v="320512.5"/>
    <n v="6410.25"/>
    <n v="1.9607843137254902E-2"/>
  </r>
  <r>
    <x v="297"/>
    <x v="4"/>
    <x v="0"/>
    <x v="2"/>
    <n v="33732.467999999993"/>
    <n v="25299.350999999999"/>
    <n v="8433.1169999999947"/>
    <n v="0.24999999999999989"/>
  </r>
  <r>
    <x v="298"/>
    <x v="0"/>
    <x v="4"/>
    <x v="4"/>
    <n v="9236.8499999999985"/>
    <n v="4861.5"/>
    <n v="4375.3499999999985"/>
    <n v="0.47368421052631571"/>
  </r>
  <r>
    <x v="298"/>
    <x v="2"/>
    <x v="3"/>
    <x v="4"/>
    <n v="348270.24399999995"/>
    <n v="300831.44"/>
    <n v="47438.803999999946"/>
    <n v="0.13621262458471747"/>
  </r>
  <r>
    <x v="298"/>
    <x v="4"/>
    <x v="2"/>
    <x v="3"/>
    <n v="455076.46799999999"/>
    <n v="383061"/>
    <n v="72015.467999999993"/>
    <n v="0.15824915824915825"/>
  </r>
  <r>
    <x v="298"/>
    <x v="1"/>
    <x v="2"/>
    <x v="2"/>
    <n v="4003.9234199999996"/>
    <n v="3228.9705000000004"/>
    <n v="774.95291999999927"/>
    <n v="0.19354838709677402"/>
  </r>
  <r>
    <x v="299"/>
    <x v="0"/>
    <x v="2"/>
    <x v="4"/>
    <n v="6705.5519999999997"/>
    <n v="4989.25"/>
    <n v="1716.3019999999997"/>
    <n v="0.25595238095238093"/>
  </r>
  <r>
    <x v="299"/>
    <x v="3"/>
    <x v="2"/>
    <x v="4"/>
    <n v="657964.46624999994"/>
    <n v="537113.85"/>
    <n v="120850.61624999996"/>
    <n v="0.18367346938775506"/>
  </r>
  <r>
    <x v="300"/>
    <x v="4"/>
    <x v="3"/>
    <x v="4"/>
    <n v="2697.5724999999998"/>
    <n v="2028.2499999999998"/>
    <n v="669.32249999999999"/>
    <n v="0.24812030075187971"/>
  </r>
  <r>
    <x v="301"/>
    <x v="1"/>
    <x v="2"/>
    <x v="1"/>
    <n v="95776.153846153829"/>
    <n v="90552"/>
    <n v="5224.1538461538294"/>
    <n v="5.4545454545454376E-2"/>
  </r>
  <r>
    <x v="302"/>
    <x v="4"/>
    <x v="1"/>
    <x v="1"/>
    <n v="213856.73076923075"/>
    <n v="137683"/>
    <n v="76173.730769230751"/>
    <n v="0.35619047619047611"/>
  </r>
  <r>
    <x v="302"/>
    <x v="4"/>
    <x v="3"/>
    <x v="4"/>
    <n v="9430.9599999999991"/>
    <n v="5358.5"/>
    <n v="4072.4599999999991"/>
    <n v="0.43181818181818177"/>
  </r>
  <r>
    <x v="302"/>
    <x v="3"/>
    <x v="0"/>
    <x v="2"/>
    <n v="1859.8986"/>
    <n v="1641.0869999999998"/>
    <n v="218.81160000000023"/>
    <n v="0.11764705882352954"/>
  </r>
  <r>
    <x v="303"/>
    <x v="4"/>
    <x v="3"/>
    <x v="0"/>
    <n v="4662"/>
    <n v="3108"/>
    <n v="1554"/>
    <n v="0.33333333333333331"/>
  </r>
  <r>
    <x v="303"/>
    <x v="1"/>
    <x v="3"/>
    <x v="1"/>
    <n v="242542.24615384612"/>
    <n v="210203.28"/>
    <n v="32338.966153846122"/>
    <n v="0.13333333333333322"/>
  </r>
  <r>
    <x v="303"/>
    <x v="4"/>
    <x v="2"/>
    <x v="2"/>
    <n v="39502.663200000003"/>
    <n v="32918.885999999999"/>
    <n v="6583.7772000000041"/>
    <n v="0.16666666666666677"/>
  </r>
  <r>
    <x v="304"/>
    <x v="2"/>
    <x v="1"/>
    <x v="0"/>
    <n v="11395.44"/>
    <n v="7913.4999999999991"/>
    <n v="3481.9400000000014"/>
    <n v="0.30555555555555569"/>
  </r>
  <r>
    <x v="304"/>
    <x v="0"/>
    <x v="2"/>
    <x v="1"/>
    <n v="335941.8209134615"/>
    <n v="300541.5"/>
    <n v="35400.320913461503"/>
    <n v="0.10537634408602141"/>
  </r>
  <r>
    <x v="304"/>
    <x v="0"/>
    <x v="4"/>
    <x v="2"/>
    <n v="14231.687400000003"/>
    <n v="10891.5975"/>
    <n v="3340.0899000000027"/>
    <n v="0.23469387755102056"/>
  </r>
  <r>
    <x v="305"/>
    <x v="3"/>
    <x v="2"/>
    <x v="0"/>
    <n v="3732.7499999999995"/>
    <n v="2765"/>
    <n v="967.74999999999955"/>
    <n v="0.25925925925925919"/>
  </r>
  <r>
    <x v="305"/>
    <x v="2"/>
    <x v="3"/>
    <x v="1"/>
    <n v="50374.759615384617"/>
    <n v="49308"/>
    <n v="1066.7596153846171"/>
    <n v="2.1176470588235328E-2"/>
  </r>
  <r>
    <x v="305"/>
    <x v="2"/>
    <x v="2"/>
    <x v="1"/>
    <n v="324428.79807692301"/>
    <n v="287154"/>
    <n v="37274.798076923005"/>
    <n v="0.1148936170212764"/>
  </r>
  <r>
    <x v="305"/>
    <x v="3"/>
    <x v="2"/>
    <x v="1"/>
    <n v="3231.1730769230767"/>
    <n v="2000.2499999999998"/>
    <n v="1230.9230769230769"/>
    <n v="0.38095238095238099"/>
  </r>
  <r>
    <x v="306"/>
    <x v="1"/>
    <x v="4"/>
    <x v="4"/>
    <n v="464214.01949999999"/>
    <n v="348327.98"/>
    <n v="115886.03950000001"/>
    <n v="0.24963924963924966"/>
  </r>
  <r>
    <x v="307"/>
    <x v="0"/>
    <x v="2"/>
    <x v="2"/>
    <n v="11633.159999999998"/>
    <n v="8724.869999999999"/>
    <n v="2908.2899999999991"/>
    <n v="0.24999999999999997"/>
  </r>
  <r>
    <x v="308"/>
    <x v="2"/>
    <x v="3"/>
    <x v="4"/>
    <n v="27834.067799999997"/>
    <n v="14057.609999999999"/>
    <n v="13776.457799999998"/>
    <n v="0.49494949494949492"/>
  </r>
  <r>
    <x v="308"/>
    <x v="4"/>
    <x v="1"/>
    <x v="2"/>
    <n v="9344.58"/>
    <n v="7377.2999999999993"/>
    <n v="1967.2800000000007"/>
    <n v="0.21052631578947376"/>
  </r>
  <r>
    <x v="309"/>
    <x v="4"/>
    <x v="2"/>
    <x v="1"/>
    <n v="160488.87548076926"/>
    <n v="136251.78"/>
    <n v="24237.095480769261"/>
    <n v="0.15102040816326548"/>
  </r>
  <r>
    <x v="309"/>
    <x v="0"/>
    <x v="4"/>
    <x v="1"/>
    <n v="5121.5365384615379"/>
    <n v="3202.5"/>
    <n v="1919.0365384615379"/>
    <n v="0.37469937469937464"/>
  </r>
  <r>
    <x v="309"/>
    <x v="1"/>
    <x v="2"/>
    <x v="2"/>
    <n v="10792.278"/>
    <n v="8703.4499999999989"/>
    <n v="2088.8280000000013"/>
    <n v="0.19354838709677433"/>
  </r>
  <r>
    <x v="310"/>
    <x v="1"/>
    <x v="4"/>
    <x v="4"/>
    <n v="3449.8939999999998"/>
    <n v="2621.5"/>
    <n v="828.39399999999978"/>
    <n v="0.24012158054711241"/>
  </r>
  <r>
    <x v="310"/>
    <x v="2"/>
    <x v="3"/>
    <x v="3"/>
    <n v="577732.41225000005"/>
    <n v="496333.68749999994"/>
    <n v="81398.72475000011"/>
    <n v="0.14089347079037817"/>
  </r>
  <r>
    <x v="311"/>
    <x v="1"/>
    <x v="4"/>
    <x v="1"/>
    <n v="55149.230769230759"/>
    <n v="47796"/>
    <n v="7353.2307692307586"/>
    <n v="0.13333333333333316"/>
  </r>
  <r>
    <x v="311"/>
    <x v="4"/>
    <x v="0"/>
    <x v="4"/>
    <n v="345383.85"/>
    <n v="261806.99999999997"/>
    <n v="83576.850000000006"/>
    <n v="0.24198250728862977"/>
  </r>
  <r>
    <x v="312"/>
    <x v="3"/>
    <x v="4"/>
    <x v="4"/>
    <n v="83714.049999999988"/>
    <n v="66157"/>
    <n v="17557.049999999988"/>
    <n v="0.20972644376899685"/>
  </r>
  <r>
    <x v="313"/>
    <x v="1"/>
    <x v="0"/>
    <x v="0"/>
    <n v="3028.7249999999999"/>
    <n v="2243.5"/>
    <n v="785.22499999999991"/>
    <n v="0.25925925925925924"/>
  </r>
  <r>
    <x v="313"/>
    <x v="0"/>
    <x v="3"/>
    <x v="3"/>
    <n v="104531.7"/>
    <n v="95725"/>
    <n v="8806.6999999999971"/>
    <n v="8.4249084249084227E-2"/>
  </r>
  <r>
    <x v="314"/>
    <x v="0"/>
    <x v="0"/>
    <x v="2"/>
    <n v="12673.017"/>
    <n v="10220.174999999999"/>
    <n v="2452.8420000000006"/>
    <n v="0.19354838709677424"/>
  </r>
  <r>
    <x v="315"/>
    <x v="0"/>
    <x v="0"/>
    <x v="4"/>
    <n v="141461.77499999999"/>
    <n v="115478.99999999999"/>
    <n v="25982.775000000009"/>
    <n v="0.18367346938775517"/>
  </r>
  <r>
    <x v="315"/>
    <x v="3"/>
    <x v="1"/>
    <x v="4"/>
    <n v="6312.5719999999992"/>
    <n v="5243"/>
    <n v="1069.5719999999992"/>
    <n v="0.16943521594684374"/>
  </r>
  <r>
    <x v="316"/>
    <x v="1"/>
    <x v="4"/>
    <x v="0"/>
    <n v="5113.5"/>
    <n v="3409"/>
    <n v="1704.5"/>
    <n v="0.33333333333333331"/>
  </r>
  <r>
    <x v="316"/>
    <x v="3"/>
    <x v="3"/>
    <x v="3"/>
    <n v="872972.1"/>
    <n v="855855"/>
    <n v="17117.099999999977"/>
    <n v="1.9607843137254877E-2"/>
  </r>
  <r>
    <x v="317"/>
    <x v="3"/>
    <x v="2"/>
    <x v="3"/>
    <n v="205659.59399999998"/>
    <n v="176683.5"/>
    <n v="28976.093999999983"/>
    <n v="0.14089347079037792"/>
  </r>
  <r>
    <x v="318"/>
    <x v="1"/>
    <x v="4"/>
    <x v="0"/>
    <n v="6488.2335000000003"/>
    <n v="4860.0999999999995"/>
    <n v="1628.1335000000008"/>
    <n v="0.25093632958801509"/>
  </r>
  <r>
    <x v="318"/>
    <x v="4"/>
    <x v="2"/>
    <x v="4"/>
    <n v="11691.678319999999"/>
    <n v="9077.39"/>
    <n v="2614.2883199999997"/>
    <n v="0.22360248447204967"/>
  </r>
  <r>
    <x v="319"/>
    <x v="0"/>
    <x v="0"/>
    <x v="4"/>
    <n v="31797.499999999996"/>
    <n v="15898.749999999998"/>
    <n v="15898.749999999998"/>
    <n v="0.5"/>
  </r>
  <r>
    <x v="319"/>
    <x v="2"/>
    <x v="0"/>
    <x v="4"/>
    <n v="25544.719199999996"/>
    <n v="18618.599999999999"/>
    <n v="6926.1191999999974"/>
    <n v="0.27113702623906699"/>
  </r>
  <r>
    <x v="319"/>
    <x v="4"/>
    <x v="2"/>
    <x v="2"/>
    <n v="14141.524319999999"/>
    <n v="10713.276"/>
    <n v="3428.2483199999988"/>
    <n v="0.24242424242424238"/>
  </r>
  <r>
    <x v="320"/>
    <x v="1"/>
    <x v="2"/>
    <x v="1"/>
    <n v="108227.05384615382"/>
    <n v="102323.76000000001"/>
    <n v="5903.2938461538142"/>
    <n v="5.4545454545454265E-2"/>
  </r>
  <r>
    <x v="321"/>
    <x v="3"/>
    <x v="3"/>
    <x v="4"/>
    <n v="32222.399999999998"/>
    <n v="24934"/>
    <n v="7288.3999999999978"/>
    <n v="0.22619047619047614"/>
  </r>
  <r>
    <x v="322"/>
    <x v="4"/>
    <x v="4"/>
    <x v="0"/>
    <n v="8601.7049999999999"/>
    <n v="6100.5"/>
    <n v="2501.2049999999999"/>
    <n v="0.29078014184397161"/>
  </r>
  <r>
    <x v="322"/>
    <x v="1"/>
    <x v="4"/>
    <x v="4"/>
    <n v="16378.669999999998"/>
    <n v="9201.5"/>
    <n v="7177.1699999999983"/>
    <n v="0.4382022471910112"/>
  </r>
  <r>
    <x v="323"/>
    <x v="4"/>
    <x v="0"/>
    <x v="4"/>
    <n v="23113.7984"/>
    <n v="12985.28"/>
    <n v="10128.518399999999"/>
    <n v="0.4382022471910112"/>
  </r>
  <r>
    <x v="324"/>
    <x v="4"/>
    <x v="3"/>
    <x v="1"/>
    <n v="6066.576923076922"/>
    <n v="3755.4999999999995"/>
    <n v="2311.0769230769224"/>
    <n v="0.38095238095238093"/>
  </r>
  <r>
    <x v="325"/>
    <x v="4"/>
    <x v="3"/>
    <x v="3"/>
    <n v="513366.33599999995"/>
    <n v="445630.5"/>
    <n v="67735.835999999952"/>
    <n v="0.13194444444444436"/>
  </r>
  <r>
    <x v="326"/>
    <x v="0"/>
    <x v="4"/>
    <x v="4"/>
    <n v="21070"/>
    <n v="18200"/>
    <n v="2870"/>
    <n v="0.13621262458471761"/>
  </r>
  <r>
    <x v="326"/>
    <x v="1"/>
    <x v="0"/>
    <x v="4"/>
    <n v="15141.617399999997"/>
    <n v="8319.57"/>
    <n v="6822.0473999999977"/>
    <n v="0.45054945054945045"/>
  </r>
  <r>
    <x v="327"/>
    <x v="2"/>
    <x v="0"/>
    <x v="4"/>
    <n v="723015.4574999999"/>
    <n v="617353.1"/>
    <n v="105662.35749999993"/>
    <n v="0.14614121510673225"/>
  </r>
  <r>
    <x v="327"/>
    <x v="3"/>
    <x v="0"/>
    <x v="2"/>
    <n v="27875.819999999996"/>
    <n v="20906.864999999998"/>
    <n v="6968.9549999999981"/>
    <n v="0.24999999999999997"/>
  </r>
  <r>
    <x v="328"/>
    <x v="3"/>
    <x v="0"/>
    <x v="1"/>
    <n v="353106.15576923068"/>
    <n v="333845.82"/>
    <n v="19260.335769230674"/>
    <n v="5.4545454545454293E-2"/>
  </r>
  <r>
    <x v="328"/>
    <x v="0"/>
    <x v="2"/>
    <x v="4"/>
    <n v="6705.5519999999997"/>
    <n v="4989.25"/>
    <n v="1716.3019999999997"/>
    <n v="0.25595238095238093"/>
  </r>
  <r>
    <x v="328"/>
    <x v="3"/>
    <x v="1"/>
    <x v="4"/>
    <n v="1246.3395"/>
    <n v="957.24999999999989"/>
    <n v="289.08950000000016"/>
    <n v="0.23195084485407078"/>
  </r>
  <r>
    <x v="329"/>
    <x v="4"/>
    <x v="4"/>
    <x v="3"/>
    <n v="737916.47999999986"/>
    <n v="627480"/>
    <n v="110436.47999999986"/>
    <n v="0.14965986394557806"/>
  </r>
  <r>
    <x v="330"/>
    <x v="1"/>
    <x v="2"/>
    <x v="2"/>
    <n v="52558.393859999996"/>
    <n v="42385.801500000001"/>
    <n v="10172.592359999995"/>
    <n v="0.1935483870967741"/>
  </r>
  <r>
    <x v="331"/>
    <x v="4"/>
    <x v="2"/>
    <x v="4"/>
    <n v="5935.0882499999998"/>
    <n v="4710.3874999999998"/>
    <n v="1224.70075"/>
    <n v="0.20634920634920637"/>
  </r>
  <r>
    <x v="332"/>
    <x v="1"/>
    <x v="1"/>
    <x v="4"/>
    <n v="1841.9393999999995"/>
    <n v="1399.6499999999999"/>
    <n v="442.28939999999966"/>
    <n v="0.24012158054711233"/>
  </r>
  <r>
    <x v="333"/>
    <x v="1"/>
    <x v="4"/>
    <x v="3"/>
    <n v="113292.9"/>
    <n v="96337.5"/>
    <n v="16955.399999999994"/>
    <n v="0.14965986394557818"/>
  </r>
  <r>
    <x v="333"/>
    <x v="1"/>
    <x v="2"/>
    <x v="2"/>
    <n v="2681.6705999999999"/>
    <n v="2311.7849999999999"/>
    <n v="369.88560000000007"/>
    <n v="0.13793103448275865"/>
  </r>
  <r>
    <x v="334"/>
    <x v="0"/>
    <x v="0"/>
    <x v="0"/>
    <n v="7789.7137499999981"/>
    <n v="5706.75"/>
    <n v="2082.9637499999981"/>
    <n v="0.26739926739926723"/>
  </r>
  <r>
    <x v="335"/>
    <x v="2"/>
    <x v="2"/>
    <x v="1"/>
    <n v="97018.061538461538"/>
    <n v="84082.319999999992"/>
    <n v="12935.741538461545"/>
    <n v="0.13333333333333341"/>
  </r>
  <r>
    <x v="336"/>
    <x v="1"/>
    <x v="1"/>
    <x v="0"/>
    <n v="8549.7720000000008"/>
    <n v="6477.0999999999995"/>
    <n v="2072.6720000000014"/>
    <n v="0.24242424242424257"/>
  </r>
  <r>
    <x v="336"/>
    <x v="3"/>
    <x v="2"/>
    <x v="4"/>
    <n v="151324.74"/>
    <n v="118329.12"/>
    <n v="32995.619999999995"/>
    <n v="0.21804511278195488"/>
  </r>
  <r>
    <x v="337"/>
    <x v="4"/>
    <x v="3"/>
    <x v="0"/>
    <n v="5243.4375"/>
    <n v="4112.5"/>
    <n v="1130.9375"/>
    <n v="0.21568627450980393"/>
  </r>
  <r>
    <x v="337"/>
    <x v="0"/>
    <x v="3"/>
    <x v="4"/>
    <n v="77946.75"/>
    <n v="64336.999999999993"/>
    <n v="13609.750000000007"/>
    <n v="0.1746031746031747"/>
  </r>
  <r>
    <x v="338"/>
    <x v="3"/>
    <x v="3"/>
    <x v="0"/>
    <n v="17557.3125"/>
    <n v="12862.5"/>
    <n v="4694.8125"/>
    <n v="0.26739926739926739"/>
  </r>
  <r>
    <x v="338"/>
    <x v="0"/>
    <x v="1"/>
    <x v="0"/>
    <n v="10384.5"/>
    <n v="8049.9999999999991"/>
    <n v="2334.5000000000009"/>
    <n v="0.22480620155038769"/>
  </r>
  <r>
    <x v="339"/>
    <x v="4"/>
    <x v="3"/>
    <x v="4"/>
    <n v="24557.510319999998"/>
    <n v="19066.39"/>
    <n v="5491.1203199999982"/>
    <n v="0.22360248447204964"/>
  </r>
  <r>
    <x v="340"/>
    <x v="4"/>
    <x v="2"/>
    <x v="3"/>
    <n v="65423.084999999999"/>
    <n v="59911.249999999993"/>
    <n v="5511.8350000000064"/>
    <n v="8.4249084249084352E-2"/>
  </r>
  <r>
    <x v="341"/>
    <x v="1"/>
    <x v="3"/>
    <x v="1"/>
    <n v="91106.177884615376"/>
    <n v="76566"/>
    <n v="14540.177884615376"/>
    <n v="0.15959595959595951"/>
  </r>
  <r>
    <x v="342"/>
    <x v="0"/>
    <x v="4"/>
    <x v="1"/>
    <n v="32219.350961538457"/>
    <n v="26806.5"/>
    <n v="5412.8509615384573"/>
    <n v="0.1679999999999999"/>
  </r>
  <r>
    <x v="342"/>
    <x v="1"/>
    <x v="3"/>
    <x v="1"/>
    <n v="88922.61706730767"/>
    <n v="83127.66"/>
    <n v="5794.9570673076669"/>
    <n v="6.516853932584242E-2"/>
  </r>
  <r>
    <x v="343"/>
    <x v="0"/>
    <x v="2"/>
    <x v="4"/>
    <n v="9998.351999999999"/>
    <n v="7439.2499999999991"/>
    <n v="2559.1019999999999"/>
    <n v="0.25595238095238099"/>
  </r>
  <r>
    <x v="343"/>
    <x v="2"/>
    <x v="2"/>
    <x v="4"/>
    <n v="497572.94999999995"/>
    <n v="369625.61999999994"/>
    <n v="127947.33000000002"/>
    <n v="0.25714285714285717"/>
  </r>
  <r>
    <x v="344"/>
    <x v="0"/>
    <x v="2"/>
    <x v="0"/>
    <n v="7869.6449999999995"/>
    <n v="6100.5"/>
    <n v="1769.1449999999995"/>
    <n v="0.22480620155038755"/>
  </r>
  <r>
    <x v="344"/>
    <x v="4"/>
    <x v="1"/>
    <x v="4"/>
    <n v="16398.255720000001"/>
    <n v="12731.565000000001"/>
    <n v="3666.6907200000005"/>
    <n v="0.2236024844720497"/>
  </r>
  <r>
    <x v="345"/>
    <x v="0"/>
    <x v="4"/>
    <x v="1"/>
    <n v="26046.5625"/>
    <n v="23814"/>
    <n v="2232.5625"/>
    <n v="8.5714285714285715E-2"/>
  </r>
  <r>
    <x v="345"/>
    <x v="1"/>
    <x v="3"/>
    <x v="4"/>
    <n v="3638.7890000000002"/>
    <n v="3022.25"/>
    <n v="616.53900000000021"/>
    <n v="0.16943521594684391"/>
  </r>
  <r>
    <x v="346"/>
    <x v="3"/>
    <x v="2"/>
    <x v="4"/>
    <n v="2811.0599999999995"/>
    <n v="1527.75"/>
    <n v="1283.3099999999995"/>
    <n v="0.4565217391304347"/>
  </r>
  <r>
    <x v="346"/>
    <x v="4"/>
    <x v="2"/>
    <x v="2"/>
    <n v="1764.336"/>
    <n v="1486.8"/>
    <n v="277.53600000000006"/>
    <n v="0.15730337078651688"/>
  </r>
  <r>
    <x v="347"/>
    <x v="1"/>
    <x v="1"/>
    <x v="0"/>
    <n v="10078.5825"/>
    <n v="7549.4999999999991"/>
    <n v="2529.0825000000013"/>
    <n v="0.25093632958801509"/>
  </r>
  <r>
    <x v="347"/>
    <x v="3"/>
    <x v="1"/>
    <x v="1"/>
    <n v="159382.27644230769"/>
    <n v="139585.32"/>
    <n v="19796.956442307681"/>
    <n v="0.12421052631578941"/>
  </r>
  <r>
    <x v="347"/>
    <x v="1"/>
    <x v="0"/>
    <x v="4"/>
    <n v="26811.338399999997"/>
    <n v="15233.715"/>
    <n v="11577.623399999997"/>
    <n v="0.43181818181818177"/>
  </r>
  <r>
    <x v="348"/>
    <x v="4"/>
    <x v="2"/>
    <x v="1"/>
    <n v="40022.163461538454"/>
    <n v="33978"/>
    <n v="6044.1634615384537"/>
    <n v="0.15102040816326515"/>
  </r>
  <r>
    <x v="349"/>
    <x v="4"/>
    <x v="3"/>
    <x v="4"/>
    <n v="9306.1290000000008"/>
    <n v="6647.2350000000006"/>
    <n v="2658.8940000000002"/>
    <n v="0.2857142857142857"/>
  </r>
  <r>
    <x v="350"/>
    <x v="3"/>
    <x v="1"/>
    <x v="2"/>
    <n v="4046.0951999999993"/>
    <n v="3570.0839999999998"/>
    <n v="476.01119999999946"/>
    <n v="0.1176470588235293"/>
  </r>
  <r>
    <x v="351"/>
    <x v="4"/>
    <x v="3"/>
    <x v="2"/>
    <n v="6038.7599999999993"/>
    <n v="4977"/>
    <n v="1061.7599999999993"/>
    <n v="0.17582417582417573"/>
  </r>
  <r>
    <x v="352"/>
    <x v="4"/>
    <x v="1"/>
    <x v="3"/>
    <n v="935060.11199999985"/>
    <n v="811684.125"/>
    <n v="123375.98699999985"/>
    <n v="0.13194444444444431"/>
  </r>
  <r>
    <x v="353"/>
    <x v="3"/>
    <x v="0"/>
    <x v="3"/>
    <n v="822386.42850000004"/>
    <n v="753101.125"/>
    <n v="69285.303500000038"/>
    <n v="8.4249084249084297E-2"/>
  </r>
  <r>
    <x v="354"/>
    <x v="4"/>
    <x v="3"/>
    <x v="3"/>
    <n v="22020.6"/>
    <n v="18725"/>
    <n v="3295.5999999999985"/>
    <n v="0.14965986394557818"/>
  </r>
  <r>
    <x v="354"/>
    <x v="0"/>
    <x v="0"/>
    <x v="2"/>
    <n v="2310.672"/>
    <n v="1883.6999999999998"/>
    <n v="426.97200000000021"/>
    <n v="0.18478260869565227"/>
  </r>
  <r>
    <x v="355"/>
    <x v="0"/>
    <x v="0"/>
    <x v="1"/>
    <n v="72860.408653846156"/>
    <n v="69678"/>
    <n v="3182.4086538461561"/>
    <n v="4.3678160919540257E-2"/>
  </r>
  <r>
    <x v="355"/>
    <x v="2"/>
    <x v="2"/>
    <x v="4"/>
    <n v="4971.54"/>
    <n v="3737.9999999999995"/>
    <n v="1233.5400000000004"/>
    <n v="0.2481203007518798"/>
  </r>
  <r>
    <x v="355"/>
    <x v="4"/>
    <x v="2"/>
    <x v="4"/>
    <n v="2691.7799999999997"/>
    <n v="1547"/>
    <n v="1144.7799999999997"/>
    <n v="0.42528735632183901"/>
  </r>
  <r>
    <x v="355"/>
    <x v="2"/>
    <x v="3"/>
    <x v="4"/>
    <n v="39347.279999999999"/>
    <n v="19673.64"/>
    <n v="19673.64"/>
    <n v="0.5"/>
  </r>
  <r>
    <x v="356"/>
    <x v="2"/>
    <x v="4"/>
    <x v="2"/>
    <n v="7347.0599999999986"/>
    <n v="5622.75"/>
    <n v="1724.3099999999986"/>
    <n v="0.23469387755102025"/>
  </r>
  <r>
    <x v="357"/>
    <x v="2"/>
    <x v="3"/>
    <x v="3"/>
    <n v="150889.19999999998"/>
    <n v="136675"/>
    <n v="14214.199999999983"/>
    <n v="9.4202898550724529E-2"/>
  </r>
  <r>
    <x v="358"/>
    <x v="3"/>
    <x v="0"/>
    <x v="1"/>
    <n v="106037.88461538461"/>
    <n v="100254"/>
    <n v="5783.8846153846098"/>
    <n v="5.4545454545454494E-2"/>
  </r>
  <r>
    <x v="358"/>
    <x v="2"/>
    <x v="1"/>
    <x v="1"/>
    <n v="364100.96826923068"/>
    <n v="340373.04"/>
    <n v="23727.928269230702"/>
    <n v="6.5168539325842531E-2"/>
  </r>
  <r>
    <x v="358"/>
    <x v="2"/>
    <x v="2"/>
    <x v="4"/>
    <n v="5521.0259999999998"/>
    <n v="4431"/>
    <n v="1090.0259999999998"/>
    <n v="0.1974317817014446"/>
  </r>
  <r>
    <x v="358"/>
    <x v="0"/>
    <x v="0"/>
    <x v="3"/>
    <n v="240433.19999999998"/>
    <n v="213150"/>
    <n v="27283.199999999983"/>
    <n v="0.11347517730496448"/>
  </r>
  <r>
    <x v="359"/>
    <x v="1"/>
    <x v="3"/>
    <x v="3"/>
    <n v="30209.759999999998"/>
    <n v="27972"/>
    <n v="2237.7599999999984"/>
    <n v="7.4074074074074028E-2"/>
  </r>
  <r>
    <x v="359"/>
    <x v="0"/>
    <x v="4"/>
    <x v="3"/>
    <n v="91090.125"/>
    <n v="88265.625"/>
    <n v="2824.5"/>
    <n v="3.1007751937984496E-2"/>
  </r>
  <r>
    <x v="359"/>
    <x v="3"/>
    <x v="3"/>
    <x v="2"/>
    <n v="25497.597509999996"/>
    <n v="19714.63725"/>
    <n v="5782.9602599999962"/>
    <n v="0.22680412371134009"/>
  </r>
  <r>
    <x v="360"/>
    <x v="3"/>
    <x v="2"/>
    <x v="3"/>
    <n v="289661.39999999997"/>
    <n v="248849.99999999997"/>
    <n v="40811.399999999994"/>
    <n v="0.14089347079037801"/>
  </r>
  <r>
    <x v="360"/>
    <x v="4"/>
    <x v="2"/>
    <x v="2"/>
    <n v="30563.190000000002"/>
    <n v="22922.392499999998"/>
    <n v="7640.7975000000042"/>
    <n v="0.25000000000000011"/>
  </r>
  <r>
    <x v="361"/>
    <x v="1"/>
    <x v="1"/>
    <x v="0"/>
    <n v="12967.5"/>
    <n v="8645"/>
    <n v="4322.5"/>
    <n v="0.33333333333333331"/>
  </r>
  <r>
    <x v="362"/>
    <x v="3"/>
    <x v="0"/>
    <x v="4"/>
    <n v="31933.3"/>
    <n v="24206"/>
    <n v="7727.2999999999993"/>
    <n v="0.24198250728862972"/>
  </r>
  <r>
    <x v="362"/>
    <x v="1"/>
    <x v="4"/>
    <x v="4"/>
    <n v="16593.990139999998"/>
    <n v="12609.414999999999"/>
    <n v="3984.575139999999"/>
    <n v="0.24012158054711244"/>
  </r>
  <r>
    <x v="362"/>
    <x v="2"/>
    <x v="3"/>
    <x v="2"/>
    <n v="8674.0348799999974"/>
    <n v="6706.7280000000001"/>
    <n v="1967.3068799999974"/>
    <n v="0.22680412371133998"/>
  </r>
  <r>
    <x v="363"/>
    <x v="0"/>
    <x v="4"/>
    <x v="2"/>
    <n v="38665.685519999999"/>
    <n v="30850.280999999999"/>
    <n v="7815.40452"/>
    <n v="0.2021276595744681"/>
  </r>
  <r>
    <x v="364"/>
    <x v="0"/>
    <x v="1"/>
    <x v="2"/>
    <n v="9076.4519999999993"/>
    <n v="7241.8499999999995"/>
    <n v="1834.6019999999999"/>
    <n v="0.20212765957446807"/>
  </r>
  <r>
    <x v="365"/>
    <x v="4"/>
    <x v="2"/>
    <x v="4"/>
    <n v="6700.5892800000001"/>
    <n v="4934.16"/>
    <n v="1766.4292800000003"/>
    <n v="0.26362297496318121"/>
  </r>
  <r>
    <x v="365"/>
    <x v="4"/>
    <x v="1"/>
    <x v="4"/>
    <n v="969419.50349999999"/>
    <n v="742412.57999999984"/>
    <n v="227006.92350000015"/>
    <n v="0.23416789396170856"/>
  </r>
  <r>
    <x v="365"/>
    <x v="2"/>
    <x v="1"/>
    <x v="3"/>
    <n v="80608.5"/>
    <n v="74637.5"/>
    <n v="5971"/>
    <n v="7.407407407407407E-2"/>
  </r>
  <r>
    <x v="366"/>
    <x v="4"/>
    <x v="3"/>
    <x v="4"/>
    <n v="5530.0236249999998"/>
    <n v="4157.9124999999995"/>
    <n v="1372.1111250000004"/>
    <n v="0.24812030075187977"/>
  </r>
  <r>
    <x v="367"/>
    <x v="4"/>
    <x v="4"/>
    <x v="2"/>
    <n v="3701.5019999999995"/>
    <n v="3190.95"/>
    <n v="510.55199999999968"/>
    <n v="0.13793103448275856"/>
  </r>
  <r>
    <x v="368"/>
    <x v="3"/>
    <x v="2"/>
    <x v="4"/>
    <n v="40715.060400000002"/>
    <n v="20772.989999999998"/>
    <n v="19942.070400000004"/>
    <n v="0.48979591836734704"/>
  </r>
  <r>
    <x v="368"/>
    <x v="2"/>
    <x v="3"/>
    <x v="2"/>
    <n v="5031.5159999999996"/>
    <n v="4387.95"/>
    <n v="643.5659999999998"/>
    <n v="0.12790697674418602"/>
  </r>
  <r>
    <x v="369"/>
    <x v="4"/>
    <x v="4"/>
    <x v="2"/>
    <n v="6467.579999999999"/>
    <n v="5575.5"/>
    <n v="892.07999999999902"/>
    <n v="0.13793103448275848"/>
  </r>
  <r>
    <x v="369"/>
    <x v="2"/>
    <x v="0"/>
    <x v="2"/>
    <n v="5031.5159999999996"/>
    <n v="4387.95"/>
    <n v="643.5659999999998"/>
    <n v="0.12790697674418602"/>
  </r>
  <r>
    <x v="370"/>
    <x v="3"/>
    <x v="1"/>
    <x v="4"/>
    <n v="106290.79999999999"/>
    <n v="89726"/>
    <n v="16564.799999999988"/>
    <n v="0.15584415584415576"/>
  </r>
  <r>
    <x v="370"/>
    <x v="3"/>
    <x v="2"/>
    <x v="4"/>
    <n v="4947.4655999999986"/>
    <n v="2688.84"/>
    <n v="2258.6255999999985"/>
    <n v="0.45652173913043459"/>
  </r>
  <r>
    <x v="370"/>
    <x v="0"/>
    <x v="2"/>
    <x v="3"/>
    <n v="190866.9"/>
    <n v="163975"/>
    <n v="26891.899999999994"/>
    <n v="0.14089347079037798"/>
  </r>
  <r>
    <x v="371"/>
    <x v="1"/>
    <x v="0"/>
    <x v="1"/>
    <n v="82122.115384615376"/>
    <n v="69720"/>
    <n v="12402.115384615376"/>
    <n v="0.1510204081632652"/>
  </r>
  <r>
    <x v="372"/>
    <x v="2"/>
    <x v="2"/>
    <x v="3"/>
    <n v="163825.19999999998"/>
    <n v="155137.5"/>
    <n v="8687.6999999999825"/>
    <n v="5.3030303030302928E-2"/>
  </r>
  <r>
    <x v="373"/>
    <x v="4"/>
    <x v="4"/>
    <x v="1"/>
    <n v="213003.60576923075"/>
    <n v="177219"/>
    <n v="35784.605769230751"/>
    <n v="0.16799999999999993"/>
  </r>
  <r>
    <x v="374"/>
    <x v="2"/>
    <x v="0"/>
    <x v="1"/>
    <n v="2882.6134615384613"/>
    <n v="1802.4999999999998"/>
    <n v="1080.1134615384615"/>
    <n v="0.3746993746993747"/>
  </r>
  <r>
    <x v="374"/>
    <x v="4"/>
    <x v="4"/>
    <x v="4"/>
    <n v="5269.8519999999999"/>
    <n v="4091.4999999999995"/>
    <n v="1178.3520000000003"/>
    <n v="0.22360248447204975"/>
  </r>
  <r>
    <x v="375"/>
    <x v="0"/>
    <x v="3"/>
    <x v="4"/>
    <n v="7051.7999999999993"/>
    <n v="3525.8999999999996"/>
    <n v="3525.8999999999996"/>
    <n v="0.5"/>
  </r>
  <r>
    <x v="375"/>
    <x v="2"/>
    <x v="3"/>
    <x v="3"/>
    <n v="247953.82499999998"/>
    <n v="213018.75"/>
    <n v="34935.074999999983"/>
    <n v="0.14089347079037795"/>
  </r>
  <r>
    <x v="375"/>
    <x v="0"/>
    <x v="2"/>
    <x v="3"/>
    <n v="439087.57199999993"/>
    <n v="397724.25"/>
    <n v="41363.321999999927"/>
    <n v="9.4202898550724487E-2"/>
  </r>
  <r>
    <x v="376"/>
    <x v="4"/>
    <x v="0"/>
    <x v="1"/>
    <n v="10669.615384615383"/>
    <n v="4623.5"/>
    <n v="6046.1153846153829"/>
    <n v="0.56666666666666665"/>
  </r>
  <r>
    <x v="376"/>
    <x v="4"/>
    <x v="1"/>
    <x v="3"/>
    <n v="203716.8"/>
    <n v="176837.5"/>
    <n v="26879.299999999988"/>
    <n v="0.13194444444444439"/>
  </r>
  <r>
    <x v="377"/>
    <x v="4"/>
    <x v="3"/>
    <x v="4"/>
    <n v="5269.8519999999999"/>
    <n v="4091.4999999999995"/>
    <n v="1178.3520000000003"/>
    <n v="0.22360248447204975"/>
  </r>
  <r>
    <x v="378"/>
    <x v="1"/>
    <x v="2"/>
    <x v="4"/>
    <n v="25410.108850000001"/>
    <n v="19105.345000000001"/>
    <n v="6304.7638499999994"/>
    <n v="0.24812030075187966"/>
  </r>
  <r>
    <x v="379"/>
    <x v="4"/>
    <x v="4"/>
    <x v="1"/>
    <n v="920175.57692307688"/>
    <n v="765586.07999999984"/>
    <n v="154589.49692307704"/>
    <n v="0.16800000000000012"/>
  </r>
  <r>
    <x v="379"/>
    <x v="4"/>
    <x v="2"/>
    <x v="4"/>
    <n v="4653.1869999999999"/>
    <n v="3426.5"/>
    <n v="1226.6869999999999"/>
    <n v="0.26362297496318116"/>
  </r>
  <r>
    <x v="379"/>
    <x v="0"/>
    <x v="3"/>
    <x v="3"/>
    <n v="78398.774999999994"/>
    <n v="71793.75"/>
    <n v="6605.0249999999942"/>
    <n v="8.4249084249084186E-2"/>
  </r>
  <r>
    <x v="380"/>
    <x v="1"/>
    <x v="0"/>
    <x v="1"/>
    <n v="55149.230769230759"/>
    <n v="47796"/>
    <n v="7353.2307692307586"/>
    <n v="0.13333333333333316"/>
  </r>
  <r>
    <x v="380"/>
    <x v="0"/>
    <x v="0"/>
    <x v="4"/>
    <n v="3942.3439999999996"/>
    <n v="3164"/>
    <n v="778.3439999999996"/>
    <n v="0.19743178170144454"/>
  </r>
  <r>
    <x v="381"/>
    <x v="0"/>
    <x v="2"/>
    <x v="0"/>
    <n v="12244.207499999999"/>
    <n v="9603.2999999999993"/>
    <n v="2640.9074999999993"/>
    <n v="0.2156862745098039"/>
  </r>
  <r>
    <x v="381"/>
    <x v="4"/>
    <x v="3"/>
    <x v="4"/>
    <n v="667517.59199999995"/>
    <n v="538989.36"/>
    <n v="128528.23199999996"/>
    <n v="0.19254658385093162"/>
  </r>
  <r>
    <x v="381"/>
    <x v="1"/>
    <x v="4"/>
    <x v="3"/>
    <n v="48730.5"/>
    <n v="47775"/>
    <n v="955.5"/>
    <n v="1.9607843137254902E-2"/>
  </r>
  <r>
    <x v="382"/>
    <x v="1"/>
    <x v="1"/>
    <x v="2"/>
    <n v="6640.2"/>
    <n v="5859"/>
    <n v="781.19999999999982"/>
    <n v="0.11764705882352938"/>
  </r>
  <r>
    <x v="383"/>
    <x v="0"/>
    <x v="0"/>
    <x v="0"/>
    <n v="38714.877337499987"/>
    <n v="28362.547500000001"/>
    <n v="10352.329837499987"/>
    <n v="0.26739926739926717"/>
  </r>
  <r>
    <x v="383"/>
    <x v="3"/>
    <x v="1"/>
    <x v="1"/>
    <n v="176939.39206730769"/>
    <n v="148700.57999999999"/>
    <n v="28238.812067307706"/>
    <n v="0.15959595959595968"/>
  </r>
  <r>
    <x v="383"/>
    <x v="0"/>
    <x v="2"/>
    <x v="4"/>
    <n v="5074.1459999999997"/>
    <n v="3660.9999999999995"/>
    <n v="1413.1460000000002"/>
    <n v="0.27849927849927852"/>
  </r>
  <r>
    <x v="383"/>
    <x v="2"/>
    <x v="2"/>
    <x v="2"/>
    <n v="6481.6919999999991"/>
    <n v="5462.0999999999995"/>
    <n v="1019.5919999999996"/>
    <n v="0.15730337078651682"/>
  </r>
  <r>
    <x v="384"/>
    <x v="3"/>
    <x v="3"/>
    <x v="4"/>
    <n v="3959.4609249999999"/>
    <n v="3177.7374999999997"/>
    <n v="781.72342500000013"/>
    <n v="0.19743178170144465"/>
  </r>
  <r>
    <x v="384"/>
    <x v="1"/>
    <x v="3"/>
    <x v="2"/>
    <n v="1402.674"/>
    <n v="1156.05"/>
    <n v="246.62400000000002"/>
    <n v="0.17582417582417584"/>
  </r>
  <r>
    <x v="385"/>
    <x v="4"/>
    <x v="1"/>
    <x v="4"/>
    <n v="1192828.8049999999"/>
    <n v="904185.1"/>
    <n v="288643.70499999996"/>
    <n v="0.24198250728862972"/>
  </r>
  <r>
    <x v="385"/>
    <x v="2"/>
    <x v="4"/>
    <x v="4"/>
    <n v="34126.137499999997"/>
    <n v="17961.125"/>
    <n v="16165.012499999997"/>
    <n v="0.47368421052631576"/>
  </r>
  <r>
    <x v="386"/>
    <x v="3"/>
    <x v="3"/>
    <x v="4"/>
    <n v="465442.86599999998"/>
    <n v="371782.31999999995"/>
    <n v="93660.546000000031"/>
    <n v="0.20122887864823355"/>
  </r>
  <r>
    <x v="386"/>
    <x v="1"/>
    <x v="3"/>
    <x v="3"/>
    <n v="40824"/>
    <n v="37800"/>
    <n v="3024"/>
    <n v="7.407407407407407E-2"/>
  </r>
  <r>
    <x v="386"/>
    <x v="3"/>
    <x v="0"/>
    <x v="3"/>
    <n v="897767.6399999999"/>
    <n v="850158.75"/>
    <n v="47608.889999999898"/>
    <n v="5.3030303030302921E-2"/>
  </r>
  <r>
    <x v="387"/>
    <x v="1"/>
    <x v="2"/>
    <x v="2"/>
    <n v="4480.7699999999995"/>
    <n v="3537.45"/>
    <n v="943.31999999999971"/>
    <n v="0.21052631578947364"/>
  </r>
  <r>
    <x v="387"/>
    <x v="1"/>
    <x v="4"/>
    <x v="2"/>
    <n v="1080.0589799999998"/>
    <n v="890.15849999999989"/>
    <n v="189.9004799999999"/>
    <n v="0.17582417582417575"/>
  </r>
  <r>
    <x v="388"/>
    <x v="1"/>
    <x v="2"/>
    <x v="0"/>
    <n v="27283.4205"/>
    <n v="19146.259999999998"/>
    <n v="8137.1605000000018"/>
    <n v="0.29824561403508776"/>
  </r>
  <r>
    <x v="388"/>
    <x v="3"/>
    <x v="1"/>
    <x v="4"/>
    <n v="181659.48849999998"/>
    <n v="143560.69"/>
    <n v="38098.798499999975"/>
    <n v="0.20972644376899685"/>
  </r>
  <r>
    <x v="389"/>
    <x v="2"/>
    <x v="2"/>
    <x v="1"/>
    <n v="144803.07692307691"/>
    <n v="125495.99999999999"/>
    <n v="19307.076923076922"/>
    <n v="0.13333333333333333"/>
  </r>
  <r>
    <x v="390"/>
    <x v="1"/>
    <x v="3"/>
    <x v="1"/>
    <n v="125216.43749999999"/>
    <n v="106306.2"/>
    <n v="18910.237499999988"/>
    <n v="0.15102040816326523"/>
  </r>
  <r>
    <x v="390"/>
    <x v="3"/>
    <x v="1"/>
    <x v="4"/>
    <n v="16114.825999999999"/>
    <n v="8854.2999999999993"/>
    <n v="7260.5259999999998"/>
    <n v="0.45054945054945056"/>
  </r>
  <r>
    <x v="390"/>
    <x v="1"/>
    <x v="4"/>
    <x v="4"/>
    <n v="51006.256000000001"/>
    <n v="42573.440000000002"/>
    <n v="8432.8159999999989"/>
    <n v="0.16532905296950237"/>
  </r>
  <r>
    <x v="391"/>
    <x v="3"/>
    <x v="3"/>
    <x v="4"/>
    <n v="1588.6499999999999"/>
    <n v="934.49999999999989"/>
    <n v="654.15"/>
    <n v="0.41176470588235298"/>
  </r>
  <r>
    <x v="391"/>
    <x v="3"/>
    <x v="3"/>
    <x v="4"/>
    <n v="20246.848020000001"/>
    <n v="15719.602499999999"/>
    <n v="4527.2455200000022"/>
    <n v="0.22360248447204978"/>
  </r>
  <r>
    <x v="391"/>
    <x v="4"/>
    <x v="2"/>
    <x v="2"/>
    <n v="10099.446"/>
    <n v="7808.8499999999995"/>
    <n v="2290.5960000000005"/>
    <n v="0.22680412371134026"/>
  </r>
  <r>
    <x v="392"/>
    <x v="0"/>
    <x v="3"/>
    <x v="4"/>
    <n v="548251.19999999995"/>
    <n v="452524.79999999999"/>
    <n v="95726.399999999965"/>
    <n v="0.17460317460317457"/>
  </r>
  <r>
    <x v="393"/>
    <x v="0"/>
    <x v="2"/>
    <x v="0"/>
    <n v="25287.880799999999"/>
    <n v="17202.64"/>
    <n v="8085.2407999999996"/>
    <n v="0.31972789115646261"/>
  </r>
  <r>
    <x v="393"/>
    <x v="4"/>
    <x v="2"/>
    <x v="4"/>
    <n v="664070.04999999993"/>
    <n v="524797"/>
    <n v="139273.04999999993"/>
    <n v="0.20972644376899688"/>
  </r>
  <r>
    <x v="393"/>
    <x v="2"/>
    <x v="0"/>
    <x v="2"/>
    <n v="11106.018"/>
    <n v="8413.65"/>
    <n v="2692.3680000000004"/>
    <n v="0.24242424242424246"/>
  </r>
  <r>
    <x v="394"/>
    <x v="0"/>
    <x v="0"/>
    <x v="0"/>
    <n v="10277.630999999999"/>
    <n v="7698.5999999999995"/>
    <n v="2579.0309999999999"/>
    <n v="0.25093632958801498"/>
  </r>
  <r>
    <x v="394"/>
    <x v="2"/>
    <x v="0"/>
    <x v="1"/>
    <n v="171413.55"/>
    <n v="147026.87999999998"/>
    <n v="24386.670000000013"/>
    <n v="0.14226804123711348"/>
  </r>
  <r>
    <x v="394"/>
    <x v="1"/>
    <x v="2"/>
    <x v="4"/>
    <n v="2848.86"/>
    <n v="2394"/>
    <n v="454.86000000000013"/>
    <n v="0.15966386554621853"/>
  </r>
  <r>
    <x v="394"/>
    <x v="3"/>
    <x v="2"/>
    <x v="4"/>
    <n v="14022.088920000002"/>
    <n v="10886.715"/>
    <n v="3135.3739200000018"/>
    <n v="0.22360248447204978"/>
  </r>
  <r>
    <x v="395"/>
    <x v="0"/>
    <x v="2"/>
    <x v="4"/>
    <n v="4559.5199999999995"/>
    <n v="2478"/>
    <n v="2081.5199999999995"/>
    <n v="0.4565217391304347"/>
  </r>
  <r>
    <x v="395"/>
    <x v="0"/>
    <x v="0"/>
    <x v="3"/>
    <n v="137100.6"/>
    <n v="122849.99999999999"/>
    <n v="14250.60000000002"/>
    <n v="0.10394265232974925"/>
  </r>
  <r>
    <x v="396"/>
    <x v="1"/>
    <x v="4"/>
    <x v="0"/>
    <n v="55996.504199999996"/>
    <n v="41023.08"/>
    <n v="14973.424199999994"/>
    <n v="0.26739926739926734"/>
  </r>
  <r>
    <x v="396"/>
    <x v="2"/>
    <x v="0"/>
    <x v="1"/>
    <n v="113694.64615384616"/>
    <n v="109992.96000000001"/>
    <n v="3701.6861538461526"/>
    <n v="3.2558139534883707E-2"/>
  </r>
  <r>
    <x v="396"/>
    <x v="3"/>
    <x v="0"/>
    <x v="4"/>
    <n v="83026.58"/>
    <n v="62935.6"/>
    <n v="20090.980000000003"/>
    <n v="0.24198250728862977"/>
  </r>
  <r>
    <x v="397"/>
    <x v="2"/>
    <x v="4"/>
    <x v="2"/>
    <n v="4342.3799999999992"/>
    <n v="3323.25"/>
    <n v="1019.1299999999992"/>
    <n v="0.23469387755102028"/>
  </r>
  <r>
    <x v="397"/>
    <x v="2"/>
    <x v="1"/>
    <x v="2"/>
    <n v="4478.1239999999998"/>
    <n v="3773.7"/>
    <n v="704.42399999999998"/>
    <n v="0.15730337078651685"/>
  </r>
  <r>
    <x v="398"/>
    <x v="2"/>
    <x v="2"/>
    <x v="4"/>
    <n v="10424.95335"/>
    <n v="8559.0749999999989"/>
    <n v="1865.8783500000009"/>
    <n v="0.17898193760262734"/>
  </r>
  <r>
    <x v="398"/>
    <x v="3"/>
    <x v="0"/>
    <x v="2"/>
    <n v="8992.1999999999989"/>
    <n v="6744.15"/>
    <n v="2248.0499999999993"/>
    <n v="0.24999999999999994"/>
  </r>
  <r>
    <x v="398"/>
    <x v="3"/>
    <x v="0"/>
    <x v="2"/>
    <n v="3262.9799999999996"/>
    <n v="2879.1"/>
    <n v="383.87999999999965"/>
    <n v="0.11764705882352933"/>
  </r>
  <r>
    <x v="399"/>
    <x v="4"/>
    <x v="3"/>
    <x v="4"/>
    <n v="356068.3"/>
    <n v="269906"/>
    <n v="86162.299999999988"/>
    <n v="0.24198250728862972"/>
  </r>
  <r>
    <x v="400"/>
    <x v="0"/>
    <x v="3"/>
    <x v="0"/>
    <n v="7148.1374999999998"/>
    <n v="5477.5"/>
    <n v="1670.6374999999998"/>
    <n v="0.23371647509578541"/>
  </r>
  <r>
    <x v="400"/>
    <x v="2"/>
    <x v="4"/>
    <x v="4"/>
    <n v="10492.492499999998"/>
    <n v="5641.125"/>
    <n v="4851.3674999999985"/>
    <n v="0.46236559139784938"/>
  </r>
  <r>
    <x v="400"/>
    <x v="0"/>
    <x v="1"/>
    <x v="4"/>
    <n v="15620.435599999999"/>
    <n v="12678.924999999999"/>
    <n v="2941.5105999999996"/>
    <n v="0.18831168831168829"/>
  </r>
  <r>
    <x v="401"/>
    <x v="2"/>
    <x v="2"/>
    <x v="4"/>
    <n v="2349.1334999999999"/>
    <n v="1804.2499999999998"/>
    <n v="544.88350000000014"/>
    <n v="0.23195084485407072"/>
  </r>
  <r>
    <x v="401"/>
    <x v="2"/>
    <x v="2"/>
    <x v="4"/>
    <n v="1037550.0712499999"/>
    <n v="778536.85"/>
    <n v="259013.22124999994"/>
    <n v="0.24963924963924961"/>
  </r>
  <r>
    <x v="402"/>
    <x v="2"/>
    <x v="2"/>
    <x v="1"/>
    <n v="215835.57692307691"/>
    <n v="138957"/>
    <n v="76878.576923076907"/>
    <n v="0.35619047619047617"/>
  </r>
  <r>
    <x v="402"/>
    <x v="1"/>
    <x v="4"/>
    <x v="4"/>
    <n v="14679.8904"/>
    <n v="12192.599999999999"/>
    <n v="2487.2904000000017"/>
    <n v="0.16943521594684396"/>
  </r>
  <r>
    <x v="403"/>
    <x v="2"/>
    <x v="2"/>
    <x v="1"/>
    <n v="207788.68990384613"/>
    <n v="178227"/>
    <n v="29561.689903846127"/>
    <n v="0.14226804123711329"/>
  </r>
  <r>
    <x v="404"/>
    <x v="0"/>
    <x v="0"/>
    <x v="1"/>
    <n v="134556.49038461538"/>
    <n v="111951"/>
    <n v="22605.490384615376"/>
    <n v="0.16799999999999995"/>
  </r>
  <r>
    <x v="404"/>
    <x v="4"/>
    <x v="0"/>
    <x v="4"/>
    <n v="12454.96"/>
    <n v="6769"/>
    <n v="5685.9599999999991"/>
    <n v="0.45652173913043476"/>
  </r>
  <r>
    <x v="405"/>
    <x v="0"/>
    <x v="1"/>
    <x v="4"/>
    <n v="192732.21449999997"/>
    <n v="160867.97999999998"/>
    <n v="31864.234499999991"/>
    <n v="0.1653290529695024"/>
  </r>
  <r>
    <x v="406"/>
    <x v="3"/>
    <x v="2"/>
    <x v="4"/>
    <n v="309471.75"/>
    <n v="255436.99999999997"/>
    <n v="54034.750000000029"/>
    <n v="0.1746031746031747"/>
  </r>
  <r>
    <x v="406"/>
    <x v="2"/>
    <x v="0"/>
    <x v="3"/>
    <n v="109586.4"/>
    <n v="103775"/>
    <n v="5811.3999999999942"/>
    <n v="5.3030303030302983E-2"/>
  </r>
  <r>
    <x v="407"/>
    <x v="4"/>
    <x v="2"/>
    <x v="1"/>
    <n v="135675.13413461536"/>
    <n v="115185.42"/>
    <n v="20489.714134615366"/>
    <n v="0.1510204081632652"/>
  </r>
  <r>
    <x v="408"/>
    <x v="1"/>
    <x v="4"/>
    <x v="1"/>
    <n v="68376.201923076907"/>
    <n v="66150"/>
    <n v="2226.2019230769074"/>
    <n v="3.2558139534883498E-2"/>
  </r>
  <r>
    <x v="409"/>
    <x v="4"/>
    <x v="4"/>
    <x v="0"/>
    <n v="5243.4375"/>
    <n v="4112.5"/>
    <n v="1130.9375"/>
    <n v="0.21568627450980393"/>
  </r>
  <r>
    <x v="410"/>
    <x v="0"/>
    <x v="3"/>
    <x v="4"/>
    <n v="141461.77499999999"/>
    <n v="115478.99999999999"/>
    <n v="25982.775000000009"/>
    <n v="0.18367346938775517"/>
  </r>
  <r>
    <x v="410"/>
    <x v="1"/>
    <x v="2"/>
    <x v="3"/>
    <n v="55849.5"/>
    <n v="51712.5"/>
    <n v="4137"/>
    <n v="7.407407407407407E-2"/>
  </r>
  <r>
    <x v="410"/>
    <x v="4"/>
    <x v="4"/>
    <x v="3"/>
    <n v="345047.47200000001"/>
    <n v="299520.375"/>
    <n v="45527.097000000009"/>
    <n v="0.13194444444444448"/>
  </r>
  <r>
    <x v="411"/>
    <x v="3"/>
    <x v="0"/>
    <x v="0"/>
    <n v="10018.049999999999"/>
    <n v="7105"/>
    <n v="2913.0499999999993"/>
    <n v="0.29078014184397161"/>
  </r>
  <r>
    <x v="412"/>
    <x v="2"/>
    <x v="0"/>
    <x v="4"/>
    <n v="43093.595999999998"/>
    <n v="23168.6"/>
    <n v="19924.995999999999"/>
    <n v="0.46236559139784944"/>
  </r>
  <r>
    <x v="413"/>
    <x v="1"/>
    <x v="1"/>
    <x v="0"/>
    <n v="1755.6"/>
    <n v="1330"/>
    <n v="425.59999999999991"/>
    <n v="0.24242424242424238"/>
  </r>
  <r>
    <x v="413"/>
    <x v="2"/>
    <x v="2"/>
    <x v="3"/>
    <n v="93646.349999999991"/>
    <n v="83912.5"/>
    <n v="9733.8499999999913"/>
    <n v="0.10394265232974902"/>
  </r>
  <r>
    <x v="414"/>
    <x v="0"/>
    <x v="4"/>
    <x v="4"/>
    <n v="461124.53887500003"/>
    <n v="346009.755"/>
    <n v="115114.78387500002"/>
    <n v="0.24963924963924966"/>
  </r>
  <r>
    <x v="414"/>
    <x v="3"/>
    <x v="1"/>
    <x v="4"/>
    <n v="157310.38399999999"/>
    <n v="132794.47999999998"/>
    <n v="24515.90400000001"/>
    <n v="0.15584415584415592"/>
  </r>
  <r>
    <x v="414"/>
    <x v="1"/>
    <x v="4"/>
    <x v="2"/>
    <n v="8031.9691199999988"/>
    <n v="6408.485999999999"/>
    <n v="1623.4831199999999"/>
    <n v="0.2021276595744681"/>
  </r>
  <r>
    <x v="415"/>
    <x v="3"/>
    <x v="2"/>
    <x v="1"/>
    <n v="26305.528846153844"/>
    <n v="24318"/>
    <n v="1987.5288461538439"/>
    <n v="7.5555555555555473E-2"/>
  </r>
  <r>
    <x v="415"/>
    <x v="1"/>
    <x v="3"/>
    <x v="3"/>
    <n v="526449"/>
    <n v="498531.24999999994"/>
    <n v="27917.750000000058"/>
    <n v="5.3030303030303143E-2"/>
  </r>
  <r>
    <x v="415"/>
    <x v="2"/>
    <x v="0"/>
    <x v="2"/>
    <n v="4478.1239999999998"/>
    <n v="3773.7"/>
    <n v="704.42399999999998"/>
    <n v="0.15730337078651685"/>
  </r>
  <r>
    <x v="416"/>
    <x v="0"/>
    <x v="3"/>
    <x v="0"/>
    <n v="1098.7199999999998"/>
    <n v="763"/>
    <n v="335.7199999999998"/>
    <n v="0.30555555555555541"/>
  </r>
  <r>
    <x v="416"/>
    <x v="1"/>
    <x v="4"/>
    <x v="3"/>
    <n v="475830.18"/>
    <n v="404617.5"/>
    <n v="71212.679999999993"/>
    <n v="0.14965986394557823"/>
  </r>
  <r>
    <x v="417"/>
    <x v="0"/>
    <x v="4"/>
    <x v="4"/>
    <n v="581637.59499999997"/>
    <n v="454814.36"/>
    <n v="126823.23499999999"/>
    <n v="0.21804511278195488"/>
  </r>
  <r>
    <x v="418"/>
    <x v="2"/>
    <x v="2"/>
    <x v="4"/>
    <n v="161121.1875"/>
    <n v="125989.49999999999"/>
    <n v="35131.687500000015"/>
    <n v="0.21804511278195499"/>
  </r>
  <r>
    <x v="418"/>
    <x v="1"/>
    <x v="1"/>
    <x v="2"/>
    <n v="9140.0399999999991"/>
    <n v="7370.9999999999991"/>
    <n v="1769.04"/>
    <n v="0.19354838709677422"/>
  </r>
  <r>
    <x v="419"/>
    <x v="1"/>
    <x v="3"/>
    <x v="2"/>
    <n v="9485.7335999999996"/>
    <n v="7259.49"/>
    <n v="2226.2435999999998"/>
    <n v="0.23469387755102039"/>
  </r>
  <r>
    <x v="420"/>
    <x v="4"/>
    <x v="3"/>
    <x v="0"/>
    <n v="18456.899999999998"/>
    <n v="14475.999999999998"/>
    <n v="3980.8999999999996"/>
    <n v="0.21568627450980393"/>
  </r>
  <r>
    <x v="420"/>
    <x v="2"/>
    <x v="4"/>
    <x v="4"/>
    <n v="256015.19999999998"/>
    <n v="198107"/>
    <n v="57908.199999999983"/>
    <n v="0.22619047619047614"/>
  </r>
  <r>
    <x v="420"/>
    <x v="4"/>
    <x v="0"/>
    <x v="4"/>
    <n v="2364.7399999999998"/>
    <n v="1778"/>
    <n v="586.73999999999978"/>
    <n v="0.24812030075187963"/>
  </r>
  <r>
    <x v="421"/>
    <x v="4"/>
    <x v="0"/>
    <x v="1"/>
    <n v="76877.163461538454"/>
    <n v="65940"/>
    <n v="10937.163461538454"/>
    <n v="0.14226804123711331"/>
  </r>
  <r>
    <x v="421"/>
    <x v="0"/>
    <x v="4"/>
    <x v="4"/>
    <n v="13937.28"/>
    <n v="7258.9999999999991"/>
    <n v="6678.2800000000016"/>
    <n v="0.47916666666666674"/>
  </r>
  <r>
    <x v="421"/>
    <x v="0"/>
    <x v="2"/>
    <x v="2"/>
    <n v="7794.8639999999996"/>
    <n v="6643.3499999999995"/>
    <n v="1151.5140000000001"/>
    <n v="0.14772727272727276"/>
  </r>
  <r>
    <x v="421"/>
    <x v="0"/>
    <x v="0"/>
    <x v="2"/>
    <n v="17719.129680000002"/>
    <n v="13700.358"/>
    <n v="4018.7716800000017"/>
    <n v="0.22680412371134029"/>
  </r>
  <r>
    <x v="422"/>
    <x v="2"/>
    <x v="0"/>
    <x v="4"/>
    <n v="11561.06"/>
    <n v="6149.5"/>
    <n v="5411.5599999999995"/>
    <n v="0.46808510638297868"/>
  </r>
  <r>
    <x v="422"/>
    <x v="3"/>
    <x v="2"/>
    <x v="4"/>
    <n v="123996.95"/>
    <n v="107107"/>
    <n v="16889.949999999997"/>
    <n v="0.13621262458471758"/>
  </r>
  <r>
    <x v="422"/>
    <x v="1"/>
    <x v="0"/>
    <x v="4"/>
    <n v="1600.8790000000001"/>
    <n v="1143.4849999999999"/>
    <n v="457.39400000000023"/>
    <n v="0.28571428571428581"/>
  </r>
  <r>
    <x v="423"/>
    <x v="4"/>
    <x v="2"/>
    <x v="1"/>
    <n v="46555.889423076915"/>
    <n v="45570"/>
    <n v="985.88942307691468"/>
    <n v="2.1176470588235116E-2"/>
  </r>
  <r>
    <x v="424"/>
    <x v="3"/>
    <x v="1"/>
    <x v="1"/>
    <n v="46507.629807692305"/>
    <n v="39085.199999999997"/>
    <n v="7422.4298076923078"/>
    <n v="0.1595959595959596"/>
  </r>
  <r>
    <x v="424"/>
    <x v="1"/>
    <x v="0"/>
    <x v="4"/>
    <n v="14271.487999999999"/>
    <n v="8108.7999999999993"/>
    <n v="6162.6880000000001"/>
    <n v="0.43181818181818182"/>
  </r>
  <r>
    <x v="424"/>
    <x v="4"/>
    <x v="0"/>
    <x v="2"/>
    <n v="6107.4782999999989"/>
    <n v="5265.0675000000001"/>
    <n v="842.41079999999874"/>
    <n v="0.13793103448275845"/>
  </r>
  <r>
    <x v="425"/>
    <x v="3"/>
    <x v="0"/>
    <x v="4"/>
    <n v="17708.949999999997"/>
    <n v="9320.5"/>
    <n v="8388.4499999999971"/>
    <n v="0.47368421052631571"/>
  </r>
  <r>
    <x v="426"/>
    <x v="3"/>
    <x v="2"/>
    <x v="1"/>
    <n v="3231.1730769230767"/>
    <n v="2000.2499999999998"/>
    <n v="1230.9230769230769"/>
    <n v="0.38095238095238099"/>
  </r>
  <r>
    <x v="427"/>
    <x v="4"/>
    <x v="1"/>
    <x v="4"/>
    <n v="8811.2241000000013"/>
    <n v="6841.0124999999998"/>
    <n v="1970.2116000000015"/>
    <n v="0.22360248447204983"/>
  </r>
  <r>
    <x v="427"/>
    <x v="3"/>
    <x v="3"/>
    <x v="3"/>
    <n v="133975.79999999999"/>
    <n v="120049.99999999999"/>
    <n v="13925.800000000003"/>
    <n v="0.10394265232974914"/>
  </r>
  <r>
    <x v="427"/>
    <x v="3"/>
    <x v="3"/>
    <x v="3"/>
    <n v="91203"/>
    <n v="88375"/>
    <n v="2828"/>
    <n v="3.1007751937984496E-2"/>
  </r>
  <r>
    <x v="428"/>
    <x v="4"/>
    <x v="2"/>
    <x v="1"/>
    <n v="83536.586538461532"/>
    <n v="71652"/>
    <n v="11884.586538461532"/>
    <n v="0.14226804123711334"/>
  </r>
  <r>
    <x v="429"/>
    <x v="0"/>
    <x v="0"/>
    <x v="1"/>
    <n v="119495.24999999999"/>
    <n v="110466.72"/>
    <n v="9028.5299999999843"/>
    <n v="7.5555555555555431E-2"/>
  </r>
  <r>
    <x v="430"/>
    <x v="4"/>
    <x v="4"/>
    <x v="0"/>
    <n v="7136.6294999999991"/>
    <n v="5228.2999999999993"/>
    <n v="1908.3294999999998"/>
    <n v="0.26739926739926739"/>
  </r>
  <r>
    <x v="430"/>
    <x v="4"/>
    <x v="3"/>
    <x v="1"/>
    <n v="190323"/>
    <n v="164946.59999999998"/>
    <n v="25376.400000000023"/>
    <n v="0.13333333333333344"/>
  </r>
  <r>
    <x v="431"/>
    <x v="3"/>
    <x v="1"/>
    <x v="0"/>
    <n v="7978.0049999999992"/>
    <n v="6184.5"/>
    <n v="1793.5049999999992"/>
    <n v="0.22480620155038752"/>
  </r>
  <r>
    <x v="431"/>
    <x v="2"/>
    <x v="1"/>
    <x v="4"/>
    <n v="4878.9745899999998"/>
    <n v="3707.4274999999998"/>
    <n v="1171.54709"/>
    <n v="0.24012158054711247"/>
  </r>
  <r>
    <x v="431"/>
    <x v="2"/>
    <x v="4"/>
    <x v="3"/>
    <n v="162001.34999999998"/>
    <n v="145162.5"/>
    <n v="16838.849999999977"/>
    <n v="0.10394265232974897"/>
  </r>
  <r>
    <x v="431"/>
    <x v="4"/>
    <x v="2"/>
    <x v="2"/>
    <n v="9729.7199999999993"/>
    <n v="8108.0999999999995"/>
    <n v="1621.62"/>
    <n v="0.16666666666666666"/>
  </r>
  <r>
    <x v="432"/>
    <x v="0"/>
    <x v="2"/>
    <x v="4"/>
    <n v="16277.486400000002"/>
    <n v="8846.4600000000009"/>
    <n v="7431.0264000000006"/>
    <n v="0.45652173913043476"/>
  </r>
  <r>
    <x v="432"/>
    <x v="1"/>
    <x v="2"/>
    <x v="3"/>
    <n v="803209.68"/>
    <n v="727545"/>
    <n v="75664.680000000051"/>
    <n v="9.4202898550724695E-2"/>
  </r>
  <r>
    <x v="433"/>
    <x v="2"/>
    <x v="2"/>
    <x v="1"/>
    <n v="28448.4375"/>
    <n v="27846"/>
    <n v="602.4375"/>
    <n v="2.1176470588235293E-2"/>
  </r>
  <r>
    <x v="434"/>
    <x v="3"/>
    <x v="0"/>
    <x v="1"/>
    <n v="427862.33437499992"/>
    <n v="391188.42"/>
    <n v="36673.914374999935"/>
    <n v="8.5714285714285576E-2"/>
  </r>
  <r>
    <x v="435"/>
    <x v="1"/>
    <x v="3"/>
    <x v="1"/>
    <n v="62899.745192307688"/>
    <n v="58147.32"/>
    <n v="4752.4251923076881"/>
    <n v="7.5555555555555501E-2"/>
  </r>
  <r>
    <x v="435"/>
    <x v="0"/>
    <x v="4"/>
    <x v="4"/>
    <n v="10957.944479999998"/>
    <n v="8416.24"/>
    <n v="2541.7044799999985"/>
    <n v="0.23195084485407055"/>
  </r>
  <r>
    <x v="435"/>
    <x v="1"/>
    <x v="4"/>
    <x v="4"/>
    <n v="3400.6279999999997"/>
    <n v="1932.175"/>
    <n v="1468.4529999999997"/>
    <n v="0.43181818181818177"/>
  </r>
  <r>
    <x v="436"/>
    <x v="4"/>
    <x v="4"/>
    <x v="0"/>
    <n v="9904.9124999999985"/>
    <n v="6807.5"/>
    <n v="3097.4124999999985"/>
    <n v="0.31271477663230229"/>
  </r>
  <r>
    <x v="436"/>
    <x v="1"/>
    <x v="1"/>
    <x v="4"/>
    <n v="37504.6"/>
    <n v="31303.999999999996"/>
    <n v="6200.6000000000022"/>
    <n v="0.16532905296950248"/>
  </r>
  <r>
    <x v="436"/>
    <x v="0"/>
    <x v="0"/>
    <x v="2"/>
    <n v="3699.192"/>
    <n v="2860.2"/>
    <n v="838.99200000000019"/>
    <n v="0.22680412371134026"/>
  </r>
  <r>
    <x v="437"/>
    <x v="2"/>
    <x v="2"/>
    <x v="4"/>
    <n v="3647.2169999999992"/>
    <n v="3029.25"/>
    <n v="617.96699999999919"/>
    <n v="0.16943521594684366"/>
  </r>
  <r>
    <x v="438"/>
    <x v="4"/>
    <x v="3"/>
    <x v="3"/>
    <n v="368397.80249999993"/>
    <n v="337360.625"/>
    <n v="31037.177499999932"/>
    <n v="8.4249084249084075E-2"/>
  </r>
  <r>
    <x v="439"/>
    <x v="2"/>
    <x v="0"/>
    <x v="0"/>
    <n v="17632.458900000001"/>
    <n v="12505.289999999999"/>
    <n v="5127.1689000000024"/>
    <n v="0.29078014184397172"/>
  </r>
  <r>
    <x v="439"/>
    <x v="2"/>
    <x v="4"/>
    <x v="4"/>
    <n v="586274.80799999996"/>
    <n v="453665.02999999997"/>
    <n v="132609.77799999999"/>
    <n v="0.22619047619047619"/>
  </r>
  <r>
    <x v="439"/>
    <x v="4"/>
    <x v="2"/>
    <x v="4"/>
    <n v="9550.5409999999993"/>
    <n v="5080.0749999999998"/>
    <n v="4470.4659999999994"/>
    <n v="0.46808510638297868"/>
  </r>
  <r>
    <x v="439"/>
    <x v="4"/>
    <x v="4"/>
    <x v="2"/>
    <n v="14731.977959999998"/>
    <n v="12699.980999999998"/>
    <n v="2031.9969600000004"/>
    <n v="0.13793103448275867"/>
  </r>
  <r>
    <x v="439"/>
    <x v="3"/>
    <x v="0"/>
    <x v="2"/>
    <n v="5473.1913599999998"/>
    <n v="4773.1319999999996"/>
    <n v="700.0593600000002"/>
    <n v="0.12790697674418608"/>
  </r>
  <r>
    <x v="440"/>
    <x v="1"/>
    <x v="0"/>
    <x v="1"/>
    <n v="2496.1730769230767"/>
    <n v="1545.25"/>
    <n v="950.92307692307668"/>
    <n v="0.38095238095238088"/>
  </r>
  <r>
    <x v="441"/>
    <x v="2"/>
    <x v="2"/>
    <x v="1"/>
    <n v="39501"/>
    <n v="34594.559999999998"/>
    <n v="4906.4400000000023"/>
    <n v="0.12421052631578954"/>
  </r>
  <r>
    <x v="442"/>
    <x v="2"/>
    <x v="3"/>
    <x v="4"/>
    <n v="327648.3"/>
    <n v="261715.99999999997"/>
    <n v="65932.300000000017"/>
    <n v="0.20122887864823355"/>
  </r>
  <r>
    <x v="442"/>
    <x v="1"/>
    <x v="3"/>
    <x v="4"/>
    <n v="5279.1374999999998"/>
    <n v="4436.25"/>
    <n v="842.88749999999982"/>
    <n v="0.15966386554621845"/>
  </r>
  <r>
    <x v="443"/>
    <x v="3"/>
    <x v="0"/>
    <x v="1"/>
    <n v="33134.0625"/>
    <n v="27846"/>
    <n v="5288.0625"/>
    <n v="0.1595959595959596"/>
  </r>
  <r>
    <x v="443"/>
    <x v="2"/>
    <x v="3"/>
    <x v="4"/>
    <n v="70449.75"/>
    <n v="58148.999999999993"/>
    <n v="12300.750000000007"/>
    <n v="0.1746031746031747"/>
  </r>
  <r>
    <x v="443"/>
    <x v="1"/>
    <x v="4"/>
    <x v="4"/>
    <n v="6990.0599999999995"/>
    <n v="3926.9999999999995"/>
    <n v="3063.06"/>
    <n v="0.43820224719101125"/>
  </r>
  <r>
    <x v="443"/>
    <x v="2"/>
    <x v="1"/>
    <x v="3"/>
    <n v="307924.47000000003"/>
    <n v="285115.25"/>
    <n v="22809.22000000003"/>
    <n v="7.4074074074074167E-2"/>
  </r>
  <r>
    <x v="444"/>
    <x v="2"/>
    <x v="2"/>
    <x v="0"/>
    <n v="4788.3008250000003"/>
    <n v="3224.4450000000002"/>
    <n v="1563.8558250000001"/>
    <n v="0.32659932659932661"/>
  </r>
  <r>
    <x v="444"/>
    <x v="2"/>
    <x v="4"/>
    <x v="4"/>
    <n v="40762.225350000001"/>
    <n v="29409.974999999999"/>
    <n v="11352.250350000002"/>
    <n v="0.27849927849927852"/>
  </r>
  <r>
    <x v="444"/>
    <x v="4"/>
    <x v="3"/>
    <x v="3"/>
    <n v="932033.25599999994"/>
    <n v="903133"/>
    <n v="28900.255999999936"/>
    <n v="3.100775193798443E-2"/>
  </r>
  <r>
    <x v="445"/>
    <x v="0"/>
    <x v="4"/>
    <x v="4"/>
    <n v="2586.0974999999999"/>
    <n v="1986.2499999999998"/>
    <n v="599.84750000000008"/>
    <n v="0.23195084485407069"/>
  </r>
  <r>
    <x v="445"/>
    <x v="4"/>
    <x v="0"/>
    <x v="4"/>
    <n v="4574.4607999999998"/>
    <n v="2486.12"/>
    <n v="2088.3407999999999"/>
    <n v="0.45652173913043481"/>
  </r>
  <r>
    <x v="445"/>
    <x v="4"/>
    <x v="0"/>
    <x v="3"/>
    <n v="64873.116000000002"/>
    <n v="62138.999999999993"/>
    <n v="2734.1160000000091"/>
    <n v="4.2145593869731941E-2"/>
  </r>
  <r>
    <x v="446"/>
    <x v="0"/>
    <x v="2"/>
    <x v="1"/>
    <n v="135006.77884615381"/>
    <n v="114618"/>
    <n v="20388.778846153815"/>
    <n v="0.15102040816326512"/>
  </r>
  <r>
    <x v="446"/>
    <x v="0"/>
    <x v="3"/>
    <x v="4"/>
    <n v="369215.23274999997"/>
    <n v="301400.19"/>
    <n v="67815.042749999964"/>
    <n v="0.18367346938775503"/>
  </r>
  <r>
    <x v="446"/>
    <x v="4"/>
    <x v="3"/>
    <x v="2"/>
    <n v="8651.7899999999991"/>
    <n v="6977.25"/>
    <n v="1674.5399999999991"/>
    <n v="0.1935483870967741"/>
  </r>
  <r>
    <x v="447"/>
    <x v="4"/>
    <x v="2"/>
    <x v="1"/>
    <n v="76877.163461538454"/>
    <n v="65940"/>
    <n v="10937.163461538454"/>
    <n v="0.14226804123711331"/>
  </r>
  <r>
    <x v="447"/>
    <x v="4"/>
    <x v="0"/>
    <x v="4"/>
    <n v="18640.16"/>
    <n v="10472"/>
    <n v="8168.16"/>
    <n v="0.43820224719101125"/>
  </r>
  <r>
    <x v="447"/>
    <x v="2"/>
    <x v="2"/>
    <x v="3"/>
    <n v="30767.1"/>
    <n v="28175"/>
    <n v="2592.0999999999985"/>
    <n v="8.42490842490842E-2"/>
  </r>
  <r>
    <x v="448"/>
    <x v="1"/>
    <x v="0"/>
    <x v="0"/>
    <n v="12978"/>
    <n v="8652"/>
    <n v="4326"/>
    <n v="0.33333333333333331"/>
  </r>
  <r>
    <x v="448"/>
    <x v="2"/>
    <x v="2"/>
    <x v="2"/>
    <n v="9066.5190000000002"/>
    <n v="7640.3249999999998"/>
    <n v="1426.1940000000004"/>
    <n v="0.15730337078651691"/>
  </r>
  <r>
    <x v="449"/>
    <x v="1"/>
    <x v="1"/>
    <x v="4"/>
    <n v="682353.78749999998"/>
    <n v="512011.49999999994"/>
    <n v="170342.28750000003"/>
    <n v="0.24963924963924969"/>
  </r>
  <r>
    <x v="450"/>
    <x v="3"/>
    <x v="0"/>
    <x v="0"/>
    <n v="27545.918399999999"/>
    <n v="20868.12"/>
    <n v="6677.7983999999997"/>
    <n v="0.24242424242424243"/>
  </r>
  <r>
    <x v="450"/>
    <x v="3"/>
    <x v="0"/>
    <x v="4"/>
    <n v="4477.8853349999999"/>
    <n v="3230.7975000000001"/>
    <n v="1247.0878349999998"/>
    <n v="0.27849927849927847"/>
  </r>
  <r>
    <x v="450"/>
    <x v="2"/>
    <x v="0"/>
    <x v="4"/>
    <n v="10129.861875000001"/>
    <n v="7616.4374999999991"/>
    <n v="2513.4243750000014"/>
    <n v="0.24812030075187982"/>
  </r>
  <r>
    <x v="451"/>
    <x v="1"/>
    <x v="3"/>
    <x v="0"/>
    <n v="10236.24"/>
    <n v="7108.5"/>
    <n v="3127.74"/>
    <n v="0.30555555555555552"/>
  </r>
  <r>
    <x v="451"/>
    <x v="4"/>
    <x v="2"/>
    <x v="2"/>
    <n v="26320.98"/>
    <n v="19740.735000000001"/>
    <n v="6580.244999999999"/>
    <n v="0.24999999999999997"/>
  </r>
  <r>
    <x v="452"/>
    <x v="0"/>
    <x v="3"/>
    <x v="4"/>
    <n v="1505.6475"/>
    <n v="1265.25"/>
    <n v="240.39750000000004"/>
    <n v="0.1596638655462185"/>
  </r>
  <r>
    <x v="452"/>
    <x v="3"/>
    <x v="3"/>
    <x v="4"/>
    <n v="52085.550824999991"/>
    <n v="37579.762499999997"/>
    <n v="14505.788324999994"/>
    <n v="0.27849927849927841"/>
  </r>
  <r>
    <x v="453"/>
    <x v="1"/>
    <x v="4"/>
    <x v="4"/>
    <n v="6116.6210000000001"/>
    <n v="5080.25"/>
    <n v="1036.3710000000001"/>
    <n v="0.16943521594684385"/>
  </r>
  <r>
    <x v="454"/>
    <x v="0"/>
    <x v="0"/>
    <x v="4"/>
    <n v="4559.5199999999995"/>
    <n v="2478"/>
    <n v="2081.5199999999995"/>
    <n v="0.4565217391304347"/>
  </r>
  <r>
    <x v="455"/>
    <x v="4"/>
    <x v="4"/>
    <x v="1"/>
    <n v="142194.23076923075"/>
    <n v="91546"/>
    <n v="50648.230769230751"/>
    <n v="0.35619047619047611"/>
  </r>
  <r>
    <x v="455"/>
    <x v="2"/>
    <x v="2"/>
    <x v="1"/>
    <n v="1788.3398076923077"/>
    <n v="1118.25"/>
    <n v="670.08980769230766"/>
    <n v="0.3746993746993747"/>
  </r>
  <r>
    <x v="455"/>
    <x v="1"/>
    <x v="1"/>
    <x v="1"/>
    <n v="169318.55769230769"/>
    <n v="110110"/>
    <n v="59208.557692307688"/>
    <n v="0.34968734968734966"/>
  </r>
  <r>
    <x v="456"/>
    <x v="2"/>
    <x v="4"/>
    <x v="4"/>
    <n v="3845.0197100000005"/>
    <n v="2921.7474999999999"/>
    <n v="923.27221000000054"/>
    <n v="0.24012158054711258"/>
  </r>
  <r>
    <x v="457"/>
    <x v="2"/>
    <x v="1"/>
    <x v="0"/>
    <n v="11933.46"/>
    <n v="8035.9999999999991"/>
    <n v="3897.46"/>
    <n v="0.32659932659932661"/>
  </r>
  <r>
    <x v="457"/>
    <x v="4"/>
    <x v="3"/>
    <x v="3"/>
    <n v="254067.44999999998"/>
    <n v="232662.49999999997"/>
    <n v="21404.950000000012"/>
    <n v="8.4249084249084297E-2"/>
  </r>
  <r>
    <x v="457"/>
    <x v="1"/>
    <x v="3"/>
    <x v="2"/>
    <n v="7525.9245600000004"/>
    <n v="6487.866"/>
    <n v="1038.0585600000004"/>
    <n v="0.13793103448275867"/>
  </r>
  <r>
    <x v="458"/>
    <x v="4"/>
    <x v="2"/>
    <x v="4"/>
    <n v="4153.8"/>
    <n v="2257.5"/>
    <n v="1896.3000000000002"/>
    <n v="0.45652173913043481"/>
  </r>
  <r>
    <x v="459"/>
    <x v="3"/>
    <x v="3"/>
    <x v="4"/>
    <n v="104709.9375"/>
    <n v="89407.5"/>
    <n v="15302.4375"/>
    <n v="0.14614121510673234"/>
  </r>
  <r>
    <x v="459"/>
    <x v="0"/>
    <x v="3"/>
    <x v="4"/>
    <n v="73745"/>
    <n v="63699.999999999993"/>
    <n v="10045.000000000007"/>
    <n v="0.1362126245847177"/>
  </r>
  <r>
    <x v="459"/>
    <x v="3"/>
    <x v="4"/>
    <x v="4"/>
    <n v="303019.36874999997"/>
    <n v="264823.64999999997"/>
    <n v="38195.71875"/>
    <n v="0.12605042016806725"/>
  </r>
  <r>
    <x v="460"/>
    <x v="3"/>
    <x v="3"/>
    <x v="2"/>
    <n v="17291.930040000003"/>
    <n v="13370.048999999999"/>
    <n v="3921.8810400000038"/>
    <n v="0.2268041237113404"/>
  </r>
  <r>
    <x v="461"/>
    <x v="3"/>
    <x v="3"/>
    <x v="4"/>
    <n v="938430.36"/>
    <n v="774577.44"/>
    <n v="163852.92000000004"/>
    <n v="0.17460317460317465"/>
  </r>
  <r>
    <x v="461"/>
    <x v="0"/>
    <x v="2"/>
    <x v="3"/>
    <n v="564224.93400000001"/>
    <n v="528300.5"/>
    <n v="35924.434000000008"/>
    <n v="6.3670411985018743E-2"/>
  </r>
  <r>
    <x v="462"/>
    <x v="3"/>
    <x v="4"/>
    <x v="2"/>
    <n v="13061.663999999999"/>
    <n v="9796.2479999999996"/>
    <n v="3265.4159999999993"/>
    <n v="0.24999999999999997"/>
  </r>
  <r>
    <x v="463"/>
    <x v="3"/>
    <x v="2"/>
    <x v="4"/>
    <n v="6552.3780000000006"/>
    <n v="5087.25"/>
    <n v="1465.1280000000006"/>
    <n v="0.22360248447204975"/>
  </r>
  <r>
    <x v="464"/>
    <x v="1"/>
    <x v="1"/>
    <x v="0"/>
    <n v="39709.61505"/>
    <n v="29745.03"/>
    <n v="9964.5850500000015"/>
    <n v="0.25093632958801504"/>
  </r>
  <r>
    <x v="464"/>
    <x v="0"/>
    <x v="4"/>
    <x v="2"/>
    <n v="9076.4519999999993"/>
    <n v="7241.8499999999995"/>
    <n v="1834.6019999999999"/>
    <n v="0.20212765957446807"/>
  </r>
  <r>
    <x v="465"/>
    <x v="2"/>
    <x v="1"/>
    <x v="0"/>
    <n v="5861.9924999999994"/>
    <n v="4294.5"/>
    <n v="1567.4924999999994"/>
    <n v="0.26739926739926734"/>
  </r>
  <r>
    <x v="466"/>
    <x v="0"/>
    <x v="0"/>
    <x v="3"/>
    <n v="1069927.74"/>
    <n v="948517.49999999988"/>
    <n v="121410.24000000011"/>
    <n v="0.11347517730496463"/>
  </r>
  <r>
    <x v="467"/>
    <x v="0"/>
    <x v="0"/>
    <x v="0"/>
    <n v="7289.0999999999995"/>
    <n v="5460"/>
    <n v="1829.0999999999995"/>
    <n v="0.25093632958801493"/>
  </r>
  <r>
    <x v="467"/>
    <x v="0"/>
    <x v="0"/>
    <x v="4"/>
    <n v="62492.257799999985"/>
    <n v="35108.01"/>
    <n v="27384.247799999983"/>
    <n v="0.43820224719101109"/>
  </r>
  <r>
    <x v="467"/>
    <x v="2"/>
    <x v="4"/>
    <x v="4"/>
    <n v="1327.30465"/>
    <n v="1102.4124999999999"/>
    <n v="224.89215000000013"/>
    <n v="0.16943521594684394"/>
  </r>
  <r>
    <x v="467"/>
    <x v="4"/>
    <x v="4"/>
    <x v="3"/>
    <n v="142581.59999999998"/>
    <n v="123768.74999999999"/>
    <n v="18812.849999999991"/>
    <n v="0.13194444444444439"/>
  </r>
  <r>
    <x v="467"/>
    <x v="3"/>
    <x v="3"/>
    <x v="3"/>
    <n v="92115.029999999984"/>
    <n v="89258.75"/>
    <n v="2856.2799999999843"/>
    <n v="3.1007751937984329E-2"/>
  </r>
  <r>
    <x v="468"/>
    <x v="3"/>
    <x v="1"/>
    <x v="4"/>
    <n v="12111.3428625"/>
    <n v="9943.6312499999985"/>
    <n v="2167.7116125000011"/>
    <n v="0.17898193760262734"/>
  </r>
  <r>
    <x v="469"/>
    <x v="2"/>
    <x v="4"/>
    <x v="4"/>
    <n v="1292.816"/>
    <n v="951.99999999999989"/>
    <n v="340.81600000000014"/>
    <n v="0.26362297496318127"/>
  </r>
  <r>
    <x v="469"/>
    <x v="4"/>
    <x v="3"/>
    <x v="4"/>
    <n v="32818.522799999992"/>
    <n v="18861.22"/>
    <n v="13957.30279999999"/>
    <n v="0.42528735632183889"/>
  </r>
  <r>
    <x v="470"/>
    <x v="0"/>
    <x v="0"/>
    <x v="2"/>
    <n v="2033.3913599999998"/>
    <n v="1657.6559999999999"/>
    <n v="375.7353599999999"/>
    <n v="0.18478260869565213"/>
  </r>
  <r>
    <x v="470"/>
    <x v="2"/>
    <x v="1"/>
    <x v="2"/>
    <n v="3716.8429199999996"/>
    <n v="3132.1709999999998"/>
    <n v="584.67191999999977"/>
    <n v="0.15730337078651682"/>
  </r>
  <r>
    <x v="471"/>
    <x v="1"/>
    <x v="0"/>
    <x v="1"/>
    <n v="40287.1875"/>
    <n v="36834"/>
    <n v="3453.1875"/>
    <n v="8.5714285714285715E-2"/>
  </r>
  <r>
    <x v="471"/>
    <x v="1"/>
    <x v="2"/>
    <x v="4"/>
    <n v="269435.07500000001"/>
    <n v="219947"/>
    <n v="49488.075000000012"/>
    <n v="0.18367346938775514"/>
  </r>
  <r>
    <x v="472"/>
    <x v="1"/>
    <x v="4"/>
    <x v="0"/>
    <n v="3060.4874999999997"/>
    <n v="2292.5"/>
    <n v="767.98749999999973"/>
    <n v="0.25093632958801493"/>
  </r>
  <r>
    <x v="472"/>
    <x v="4"/>
    <x v="0"/>
    <x v="1"/>
    <n v="117367.78846153844"/>
    <n v="105000"/>
    <n v="12367.788461538439"/>
    <n v="0.10537634408602134"/>
  </r>
  <r>
    <x v="472"/>
    <x v="0"/>
    <x v="1"/>
    <x v="4"/>
    <n v="3591.7244999999998"/>
    <n v="2819.25"/>
    <n v="772.47449999999981"/>
    <n v="0.21507064364207218"/>
  </r>
  <r>
    <x v="472"/>
    <x v="3"/>
    <x v="1"/>
    <x v="2"/>
    <n v="8507.8543200000004"/>
    <n v="6511.1129999999994"/>
    <n v="1996.741320000001"/>
    <n v="0.2346938775510205"/>
  </r>
  <r>
    <x v="473"/>
    <x v="0"/>
    <x v="0"/>
    <x v="4"/>
    <n v="246515.47200000001"/>
    <n v="186863.04"/>
    <n v="59652.432000000001"/>
    <n v="0.24198250728862974"/>
  </r>
  <r>
    <x v="473"/>
    <x v="0"/>
    <x v="4"/>
    <x v="4"/>
    <n v="313634.39799999999"/>
    <n v="264756.31"/>
    <n v="48878.087999999989"/>
    <n v="0.15584415584415581"/>
  </r>
  <r>
    <x v="474"/>
    <x v="1"/>
    <x v="4"/>
    <x v="4"/>
    <n v="169421.17499999999"/>
    <n v="127126.99999999999"/>
    <n v="42294.175000000003"/>
    <n v="0.24963924963924966"/>
  </r>
  <r>
    <x v="475"/>
    <x v="2"/>
    <x v="0"/>
    <x v="4"/>
    <n v="8664.9499999999989"/>
    <n v="4560.5"/>
    <n v="4104.4499999999989"/>
    <n v="0.47368421052631571"/>
  </r>
  <r>
    <x v="475"/>
    <x v="1"/>
    <x v="3"/>
    <x v="2"/>
    <n v="7805.7839999999997"/>
    <n v="6035.4"/>
    <n v="1770.384"/>
    <n v="0.22680412371134021"/>
  </r>
  <r>
    <x v="476"/>
    <x v="0"/>
    <x v="0"/>
    <x v="2"/>
    <n v="15049.187999999998"/>
    <n v="12681.9"/>
    <n v="2367.2879999999986"/>
    <n v="0.15730337078651679"/>
  </r>
  <r>
    <x v="477"/>
    <x v="3"/>
    <x v="2"/>
    <x v="1"/>
    <n v="130730.04807692306"/>
    <n v="115709.99999999999"/>
    <n v="15020.048076923078"/>
    <n v="0.11489361702127662"/>
  </r>
  <r>
    <x v="478"/>
    <x v="2"/>
    <x v="2"/>
    <x v="1"/>
    <n v="46458.5625"/>
    <n v="42948.36"/>
    <n v="3510.2024999999994"/>
    <n v="7.5555555555555542E-2"/>
  </r>
  <r>
    <x v="479"/>
    <x v="3"/>
    <x v="0"/>
    <x v="0"/>
    <n v="15106.984200000001"/>
    <n v="11444.684999999999"/>
    <n v="3662.2992000000013"/>
    <n v="0.24242424242424249"/>
  </r>
  <r>
    <x v="480"/>
    <x v="3"/>
    <x v="3"/>
    <x v="0"/>
    <n v="14310.607499999998"/>
    <n v="10258.5"/>
    <n v="4052.1074999999983"/>
    <n v="0.28315412186379918"/>
  </r>
  <r>
    <x v="481"/>
    <x v="1"/>
    <x v="4"/>
    <x v="4"/>
    <n v="5574.7999999999993"/>
    <n v="3167.5"/>
    <n v="2407.2999999999993"/>
    <n v="0.43181818181818177"/>
  </r>
  <r>
    <x v="482"/>
    <x v="4"/>
    <x v="1"/>
    <x v="2"/>
    <n v="6545.6747999999998"/>
    <n v="5167.6379999999999"/>
    <n v="1378.0367999999999"/>
    <n v="0.21052631578947367"/>
  </r>
  <r>
    <x v="483"/>
    <x v="3"/>
    <x v="0"/>
    <x v="2"/>
    <n v="10525.367999999999"/>
    <n v="9179.0999999999985"/>
    <n v="1346.268"/>
    <n v="0.12790697674418608"/>
  </r>
  <r>
    <x v="484"/>
    <x v="4"/>
    <x v="3"/>
    <x v="4"/>
    <n v="637.90649999999994"/>
    <n v="460.24999999999994"/>
    <n v="177.65649999999999"/>
    <n v="0.27849927849927852"/>
  </r>
  <r>
    <x v="484"/>
    <x v="4"/>
    <x v="2"/>
    <x v="4"/>
    <n v="229375.125"/>
    <n v="179361"/>
    <n v="50014.125"/>
    <n v="0.21804511278195488"/>
  </r>
  <r>
    <x v="484"/>
    <x v="4"/>
    <x v="3"/>
    <x v="4"/>
    <n v="390470.17099999997"/>
    <n v="318751.15999999997"/>
    <n v="71719.010999999999"/>
    <n v="0.18367346938775511"/>
  </r>
  <r>
    <x v="485"/>
    <x v="4"/>
    <x v="2"/>
    <x v="0"/>
    <n v="2195.5499999999997"/>
    <n v="1722"/>
    <n v="473.54999999999973"/>
    <n v="0.21568627450980382"/>
  </r>
  <r>
    <x v="485"/>
    <x v="2"/>
    <x v="0"/>
    <x v="1"/>
    <n v="170783.35312499997"/>
    <n v="146486.34"/>
    <n v="24297.013124999969"/>
    <n v="0.14226804123711326"/>
  </r>
  <r>
    <x v="486"/>
    <x v="3"/>
    <x v="1"/>
    <x v="4"/>
    <n v="5677.0559999999996"/>
    <n v="2956.7999999999997"/>
    <n v="2720.2559999999999"/>
    <n v="0.47916666666666669"/>
  </r>
  <r>
    <x v="487"/>
    <x v="0"/>
    <x v="0"/>
    <x v="1"/>
    <n v="87049.038461538454"/>
    <n v="80472"/>
    <n v="6577.0384615384537"/>
    <n v="7.5555555555555473E-2"/>
  </r>
  <r>
    <x v="487"/>
    <x v="0"/>
    <x v="2"/>
    <x v="1"/>
    <n v="69522.620192307688"/>
    <n v="66486"/>
    <n v="3036.6201923076878"/>
    <n v="4.3678160919540167E-2"/>
  </r>
  <r>
    <x v="487"/>
    <x v="2"/>
    <x v="0"/>
    <x v="4"/>
    <n v="5788.4924999999994"/>
    <n v="4352.25"/>
    <n v="1436.2424999999994"/>
    <n v="0.24812030075187963"/>
  </r>
  <r>
    <x v="488"/>
    <x v="0"/>
    <x v="2"/>
    <x v="3"/>
    <n v="363328.875"/>
    <n v="332718.75"/>
    <n v="30610.125"/>
    <n v="8.4249084249084255E-2"/>
  </r>
  <r>
    <x v="489"/>
    <x v="1"/>
    <x v="2"/>
    <x v="3"/>
    <n v="168665.49"/>
    <n v="156171.75"/>
    <n v="12493.739999999991"/>
    <n v="7.4074074074074028E-2"/>
  </r>
  <r>
    <x v="489"/>
    <x v="0"/>
    <x v="2"/>
    <x v="3"/>
    <n v="78351.504000000001"/>
    <n v="75922"/>
    <n v="2429.5040000000008"/>
    <n v="3.1007751937984506E-2"/>
  </r>
  <r>
    <x v="490"/>
    <x v="0"/>
    <x v="2"/>
    <x v="3"/>
    <n v="470109.02400000003"/>
    <n v="455532"/>
    <n v="14577.024000000034"/>
    <n v="3.1007751937984565E-2"/>
  </r>
  <r>
    <x v="491"/>
    <x v="3"/>
    <x v="1"/>
    <x v="4"/>
    <n v="3648.12"/>
    <n v="2121"/>
    <n v="1527.12"/>
    <n v="0.41860465116279066"/>
  </r>
  <r>
    <x v="492"/>
    <x v="4"/>
    <x v="2"/>
    <x v="0"/>
    <n v="3217.7249999999999"/>
    <n v="2383.5"/>
    <n v="834.22499999999991"/>
    <n v="0.25925925925925924"/>
  </r>
  <r>
    <x v="492"/>
    <x v="4"/>
    <x v="0"/>
    <x v="4"/>
    <n v="47559.399999999994"/>
    <n v="38402"/>
    <n v="9157.3999999999942"/>
    <n v="0.19254658385093157"/>
  </r>
  <r>
    <x v="492"/>
    <x v="2"/>
    <x v="3"/>
    <x v="4"/>
    <n v="6382.6297499999991"/>
    <n v="5301.1875"/>
    <n v="1081.4422499999991"/>
    <n v="0.16943521594684374"/>
  </r>
  <r>
    <x v="493"/>
    <x v="4"/>
    <x v="3"/>
    <x v="1"/>
    <n v="42089.855769230766"/>
    <n v="37254"/>
    <n v="4835.8557692307659"/>
    <n v="0.11489361702127653"/>
  </r>
  <r>
    <x v="493"/>
    <x v="0"/>
    <x v="4"/>
    <x v="4"/>
    <n v="7606.4099999999989"/>
    <n v="4371.5"/>
    <n v="3234.9099999999989"/>
    <n v="0.42528735632183901"/>
  </r>
  <r>
    <x v="494"/>
    <x v="3"/>
    <x v="2"/>
    <x v="2"/>
    <n v="5906.8799999999992"/>
    <n v="4614.75"/>
    <n v="1292.1299999999992"/>
    <n v="0.21874999999999989"/>
  </r>
  <r>
    <x v="494"/>
    <x v="0"/>
    <x v="4"/>
    <x v="2"/>
    <n v="10204.655999999999"/>
    <n v="8697.15"/>
    <n v="1507.5059999999994"/>
    <n v="0.14772727272727268"/>
  </r>
  <r>
    <x v="495"/>
    <x v="2"/>
    <x v="1"/>
    <x v="0"/>
    <n v="5744.7526499999985"/>
    <n v="4208.6099999999997"/>
    <n v="1536.1426499999989"/>
    <n v="0.26739926739926728"/>
  </r>
  <r>
    <x v="496"/>
    <x v="4"/>
    <x v="0"/>
    <x v="4"/>
    <n v="224263.19999999998"/>
    <n v="173537"/>
    <n v="50726.199999999983"/>
    <n v="0.22619047619047614"/>
  </r>
  <r>
    <x v="497"/>
    <x v="4"/>
    <x v="4"/>
    <x v="3"/>
    <n v="564779.09250000003"/>
    <n v="528819.375"/>
    <n v="35959.717500000028"/>
    <n v="6.3670411985018771E-2"/>
  </r>
  <r>
    <x v="498"/>
    <x v="0"/>
    <x v="1"/>
    <x v="1"/>
    <n v="69522.620192307688"/>
    <n v="66486"/>
    <n v="3036.6201923076878"/>
    <n v="4.3678160919540167E-2"/>
  </r>
  <r>
    <x v="499"/>
    <x v="0"/>
    <x v="1"/>
    <x v="2"/>
    <n v="14239.014299999997"/>
    <n v="11865.84525"/>
    <n v="2373.1690499999968"/>
    <n v="0.16666666666666646"/>
  </r>
  <r>
    <x v="500"/>
    <x v="1"/>
    <x v="4"/>
    <x v="1"/>
    <n v="34871.862980769227"/>
    <n v="33736.5"/>
    <n v="1135.3629807692269"/>
    <n v="3.2558139534883609E-2"/>
  </r>
  <r>
    <x v="500"/>
    <x v="1"/>
    <x v="4"/>
    <x v="4"/>
    <n v="2160.5192699999998"/>
    <n v="1695.855"/>
    <n v="464.66426999999976"/>
    <n v="0.21507064364207212"/>
  </r>
  <r>
    <x v="500"/>
    <x v="2"/>
    <x v="3"/>
    <x v="3"/>
    <n v="220893.75"/>
    <n v="216562.5"/>
    <n v="4331.25"/>
    <n v="1.9607843137254902E-2"/>
  </r>
  <r>
    <x v="500"/>
    <x v="2"/>
    <x v="2"/>
    <x v="2"/>
    <n v="7265.9216699999997"/>
    <n v="5859.6142499999996"/>
    <n v="1406.3074200000001"/>
    <n v="0.19354838709677422"/>
  </r>
  <r>
    <x v="501"/>
    <x v="3"/>
    <x v="4"/>
    <x v="3"/>
    <n v="282838.5"/>
    <n v="261887.49999999997"/>
    <n v="20951.000000000029"/>
    <n v="7.4074074074074181E-2"/>
  </r>
  <r>
    <x v="502"/>
    <x v="2"/>
    <x v="2"/>
    <x v="0"/>
    <n v="5861.9924999999994"/>
    <n v="4294.5"/>
    <n v="1567.4924999999994"/>
    <n v="0.26739926739926734"/>
  </r>
  <r>
    <x v="502"/>
    <x v="3"/>
    <x v="4"/>
    <x v="4"/>
    <n v="17708.949999999997"/>
    <n v="9320.5"/>
    <n v="8388.4499999999971"/>
    <n v="0.47368421052631571"/>
  </r>
  <r>
    <x v="503"/>
    <x v="2"/>
    <x v="1"/>
    <x v="0"/>
    <n v="47733.84"/>
    <n v="32143.999999999996"/>
    <n v="15589.84"/>
    <n v="0.32659932659932661"/>
  </r>
  <r>
    <x v="504"/>
    <x v="2"/>
    <x v="0"/>
    <x v="4"/>
    <n v="239051.4"/>
    <n v="188916"/>
    <n v="50135.399999999994"/>
    <n v="0.20972644376899693"/>
  </r>
  <r>
    <x v="504"/>
    <x v="3"/>
    <x v="0"/>
    <x v="4"/>
    <n v="142006.704"/>
    <n v="109886.14"/>
    <n v="32120.563999999998"/>
    <n v="0.22619047619047619"/>
  </r>
  <r>
    <x v="505"/>
    <x v="1"/>
    <x v="2"/>
    <x v="3"/>
    <n v="100590"/>
    <n v="83825"/>
    <n v="16765"/>
    <n v="0.16666666666666666"/>
  </r>
  <r>
    <x v="506"/>
    <x v="2"/>
    <x v="1"/>
    <x v="0"/>
    <n v="10239.074999999999"/>
    <n v="7584.4999999999991"/>
    <n v="2654.5749999999998"/>
    <n v="0.25925925925925924"/>
  </r>
  <r>
    <x v="506"/>
    <x v="0"/>
    <x v="3"/>
    <x v="0"/>
    <n v="64561.643999999993"/>
    <n v="45788.399999999994"/>
    <n v="18773.243999999999"/>
    <n v="0.29078014184397166"/>
  </r>
  <r>
    <x v="506"/>
    <x v="3"/>
    <x v="4"/>
    <x v="1"/>
    <n v="91557.960576923084"/>
    <n v="76945.680000000008"/>
    <n v="14612.280576923076"/>
    <n v="0.15959595959595957"/>
  </r>
  <r>
    <x v="506"/>
    <x v="3"/>
    <x v="2"/>
    <x v="4"/>
    <n v="70057.75"/>
    <n v="54782"/>
    <n v="15275.75"/>
    <n v="0.21804511278195488"/>
  </r>
  <r>
    <x v="507"/>
    <x v="2"/>
    <x v="2"/>
    <x v="4"/>
    <n v="14851.559939999999"/>
    <n v="11919.39"/>
    <n v="2932.1699399999998"/>
    <n v="0.19743178170144463"/>
  </r>
  <r>
    <x v="507"/>
    <x v="1"/>
    <x v="3"/>
    <x v="3"/>
    <n v="82740"/>
    <n v="68950"/>
    <n v="13790"/>
    <n v="0.16666666666666666"/>
  </r>
  <r>
    <x v="508"/>
    <x v="2"/>
    <x v="0"/>
    <x v="1"/>
    <n v="63019.687499999993"/>
    <n v="54054"/>
    <n v="8965.6874999999927"/>
    <n v="0.14226804123711331"/>
  </r>
  <r>
    <x v="508"/>
    <x v="3"/>
    <x v="4"/>
    <x v="4"/>
    <n v="15229.696999999998"/>
    <n v="8015.6299999999992"/>
    <n v="7214.0669999999991"/>
    <n v="0.47368421052631576"/>
  </r>
  <r>
    <x v="509"/>
    <x v="1"/>
    <x v="0"/>
    <x v="4"/>
    <n v="7389.34"/>
    <n v="3930.4999999999995"/>
    <n v="3458.8400000000006"/>
    <n v="0.46808510638297879"/>
  </r>
  <r>
    <x v="509"/>
    <x v="1"/>
    <x v="1"/>
    <x v="4"/>
    <n v="45955.139999999992"/>
    <n v="26110.875"/>
    <n v="19844.264999999992"/>
    <n v="0.43181818181818171"/>
  </r>
  <r>
    <x v="510"/>
    <x v="2"/>
    <x v="1"/>
    <x v="1"/>
    <n v="15338.076923076922"/>
    <n v="6646.5"/>
    <n v="8691.576923076922"/>
    <n v="0.56666666666666665"/>
  </r>
  <r>
    <x v="511"/>
    <x v="4"/>
    <x v="4"/>
    <x v="0"/>
    <n v="2144.6775000000002"/>
    <n v="1588.6499999999999"/>
    <n v="556.02750000000037"/>
    <n v="0.25925925925925941"/>
  </r>
  <r>
    <x v="512"/>
    <x v="4"/>
    <x v="0"/>
    <x v="0"/>
    <n v="3014.5499999999997"/>
    <n v="2310"/>
    <n v="704.54999999999973"/>
    <n v="0.23371647509578536"/>
  </r>
  <r>
    <x v="512"/>
    <x v="3"/>
    <x v="4"/>
    <x v="2"/>
    <n v="6447.42"/>
    <n v="5688.9"/>
    <n v="758.52000000000044"/>
    <n v="0.11764705882352948"/>
  </r>
  <r>
    <x v="513"/>
    <x v="0"/>
    <x v="3"/>
    <x v="0"/>
    <n v="14035.14"/>
    <n v="9954"/>
    <n v="4081.1399999999994"/>
    <n v="0.29078014184397161"/>
  </r>
  <r>
    <x v="513"/>
    <x v="1"/>
    <x v="3"/>
    <x v="1"/>
    <n v="42546.706730769227"/>
    <n v="39774"/>
    <n v="2772.7067307692269"/>
    <n v="6.5168539325842614E-2"/>
  </r>
  <r>
    <x v="514"/>
    <x v="0"/>
    <x v="3"/>
    <x v="4"/>
    <n v="11256.745499999999"/>
    <n v="8121.7499999999991"/>
    <n v="3134.9955"/>
    <n v="0.27849927849927852"/>
  </r>
  <r>
    <x v="514"/>
    <x v="1"/>
    <x v="2"/>
    <x v="3"/>
    <n v="237635.99999999997"/>
    <n v="215250"/>
    <n v="22385.999999999971"/>
    <n v="9.4202898550724529E-2"/>
  </r>
  <r>
    <x v="515"/>
    <x v="2"/>
    <x v="4"/>
    <x v="1"/>
    <n v="91067.307692307688"/>
    <n v="75768"/>
    <n v="15299.307692307688"/>
    <n v="0.16799999999999995"/>
  </r>
  <r>
    <x v="515"/>
    <x v="0"/>
    <x v="2"/>
    <x v="4"/>
    <n v="7278.1799999999994"/>
    <n v="3912.9999999999995"/>
    <n v="3365.18"/>
    <n v="0.4623655913978495"/>
  </r>
  <r>
    <x v="515"/>
    <x v="4"/>
    <x v="2"/>
    <x v="4"/>
    <n v="2769.0389999999993"/>
    <n v="2173.5"/>
    <n v="595.53899999999931"/>
    <n v="0.21507064364207201"/>
  </r>
  <r>
    <x v="515"/>
    <x v="4"/>
    <x v="3"/>
    <x v="4"/>
    <n v="1976.366"/>
    <n v="1641.5"/>
    <n v="334.86599999999999"/>
    <n v="0.16943521594684385"/>
  </r>
  <r>
    <x v="515"/>
    <x v="0"/>
    <x v="0"/>
    <x v="4"/>
    <n v="15655.163999999999"/>
    <n v="9208.92"/>
    <n v="6446.2439999999988"/>
    <n v="0.41176470588235287"/>
  </r>
  <r>
    <x v="516"/>
    <x v="4"/>
    <x v="0"/>
    <x v="1"/>
    <n v="164925.21634615381"/>
    <n v="147546"/>
    <n v="17379.216346153815"/>
    <n v="0.10537634408602134"/>
  </r>
  <r>
    <x v="517"/>
    <x v="2"/>
    <x v="4"/>
    <x v="1"/>
    <n v="85305.9375"/>
    <n v="77994"/>
    <n v="7311.9375"/>
    <n v="8.5714285714285715E-2"/>
  </r>
  <r>
    <x v="517"/>
    <x v="4"/>
    <x v="4"/>
    <x v="1"/>
    <n v="118728.24519230769"/>
    <n v="116213.99999999999"/>
    <n v="2514.2451923077024"/>
    <n v="2.117647058823538E-2"/>
  </r>
  <r>
    <x v="517"/>
    <x v="3"/>
    <x v="3"/>
    <x v="4"/>
    <n v="3443.0094999999997"/>
    <n v="2763.25"/>
    <n v="679.75949999999966"/>
    <n v="0.19743178170144454"/>
  </r>
  <r>
    <x v="517"/>
    <x v="0"/>
    <x v="4"/>
    <x v="4"/>
    <n v="30729.896399999991"/>
    <n v="17660.859999999997"/>
    <n v="13069.036399999994"/>
    <n v="0.42528735632183901"/>
  </r>
  <r>
    <x v="518"/>
    <x v="4"/>
    <x v="2"/>
    <x v="2"/>
    <n v="5698.8052799999996"/>
    <n v="4802.3639999999996"/>
    <n v="896.44128000000001"/>
    <n v="0.15730337078651688"/>
  </r>
  <r>
    <x v="519"/>
    <x v="3"/>
    <x v="2"/>
    <x v="4"/>
    <n v="7353.15"/>
    <n v="3911.2499999999995"/>
    <n v="3441.9"/>
    <n v="0.46808510638297873"/>
  </r>
  <r>
    <x v="520"/>
    <x v="0"/>
    <x v="3"/>
    <x v="2"/>
    <n v="30069.039000000001"/>
    <n v="23738.714999999997"/>
    <n v="6330.3240000000042"/>
    <n v="0.21052631578947381"/>
  </r>
  <r>
    <x v="521"/>
    <x v="4"/>
    <x v="3"/>
    <x v="4"/>
    <n v="274586.00400000002"/>
    <n v="229188.96"/>
    <n v="45397.044000000024"/>
    <n v="0.16532905296950248"/>
  </r>
  <r>
    <x v="522"/>
    <x v="2"/>
    <x v="1"/>
    <x v="4"/>
    <n v="679503.82499999995"/>
    <n v="509872.99999999994"/>
    <n v="169630.82500000001"/>
    <n v="0.24963924963924966"/>
  </r>
  <r>
    <x v="523"/>
    <x v="2"/>
    <x v="2"/>
    <x v="2"/>
    <n v="6790.5809999999992"/>
    <n v="5476.2749999999996"/>
    <n v="1314.3059999999996"/>
    <n v="0.19354838709677416"/>
  </r>
  <r>
    <x v="523"/>
    <x v="0"/>
    <x v="0"/>
    <x v="2"/>
    <n v="19101.556320000003"/>
    <n v="16658.333999999999"/>
    <n v="2443.2223200000044"/>
    <n v="0.12790697674418625"/>
  </r>
  <r>
    <x v="524"/>
    <x v="3"/>
    <x v="2"/>
    <x v="4"/>
    <n v="8412.25"/>
    <n v="4427.5"/>
    <n v="3984.75"/>
    <n v="0.47368421052631576"/>
  </r>
  <r>
    <x v="525"/>
    <x v="4"/>
    <x v="1"/>
    <x v="4"/>
    <n v="356068.3"/>
    <n v="269906"/>
    <n v="86162.299999999988"/>
    <n v="0.24198250728862972"/>
  </r>
  <r>
    <x v="526"/>
    <x v="3"/>
    <x v="0"/>
    <x v="1"/>
    <n v="33134.0625"/>
    <n v="27846"/>
    <n v="5288.0625"/>
    <n v="0.1595959595959596"/>
  </r>
  <r>
    <x v="526"/>
    <x v="3"/>
    <x v="1"/>
    <x v="1"/>
    <n v="36332.524038461532"/>
    <n v="30533.999999999996"/>
    <n v="5798.5240384615354"/>
    <n v="0.15959595959595954"/>
  </r>
  <r>
    <x v="526"/>
    <x v="1"/>
    <x v="2"/>
    <x v="1"/>
    <n v="71521.153846153844"/>
    <n v="64679.999999999993"/>
    <n v="6841.1538461538512"/>
    <n v="9.5652173913043551E-2"/>
  </r>
  <r>
    <x v="526"/>
    <x v="1"/>
    <x v="3"/>
    <x v="1"/>
    <n v="24890.048076923074"/>
    <n v="23268"/>
    <n v="1622.0480769230744"/>
    <n v="6.51685393258426E-2"/>
  </r>
  <r>
    <x v="526"/>
    <x v="3"/>
    <x v="3"/>
    <x v="4"/>
    <n v="135978.52799999999"/>
    <n v="105221.48"/>
    <n v="30757.047999999995"/>
    <n v="0.22619047619047616"/>
  </r>
  <r>
    <x v="526"/>
    <x v="0"/>
    <x v="0"/>
    <x v="3"/>
    <n v="197156.4"/>
    <n v="167650"/>
    <n v="29506.399999999994"/>
    <n v="0.1496598639455782"/>
  </r>
  <r>
    <x v="527"/>
    <x v="2"/>
    <x v="0"/>
    <x v="4"/>
    <n v="11616.93225"/>
    <n v="8381.625"/>
    <n v="3235.3072499999998"/>
    <n v="0.27849927849927847"/>
  </r>
  <r>
    <x v="528"/>
    <x v="4"/>
    <x v="2"/>
    <x v="2"/>
    <n v="2558.7240000000002"/>
    <n v="1919.0430000000001"/>
    <n v="639.68100000000004"/>
    <n v="0.25"/>
  </r>
  <r>
    <x v="529"/>
    <x v="4"/>
    <x v="4"/>
    <x v="1"/>
    <n v="97978.629807692298"/>
    <n v="87654"/>
    <n v="10324.629807692298"/>
    <n v="0.10537634408602141"/>
  </r>
  <r>
    <x v="529"/>
    <x v="3"/>
    <x v="4"/>
    <x v="4"/>
    <n v="208978.875"/>
    <n v="182637"/>
    <n v="26341.875"/>
    <n v="0.12605042016806722"/>
  </r>
  <r>
    <x v="529"/>
    <x v="4"/>
    <x v="4"/>
    <x v="4"/>
    <n v="9684.2852750000002"/>
    <n v="7281.4174999999996"/>
    <n v="2402.8677750000006"/>
    <n v="0.24812030075187977"/>
  </r>
  <r>
    <x v="530"/>
    <x v="2"/>
    <x v="1"/>
    <x v="0"/>
    <n v="17622.359999999997"/>
    <n v="13053.599999999999"/>
    <n v="4568.7599999999984"/>
    <n v="0.25925925925925919"/>
  </r>
  <r>
    <x v="530"/>
    <x v="1"/>
    <x v="1"/>
    <x v="4"/>
    <n v="10790.779999999999"/>
    <n v="5929"/>
    <n v="4861.7799999999988"/>
    <n v="0.4505494505494505"/>
  </r>
  <r>
    <x v="530"/>
    <x v="4"/>
    <x v="3"/>
    <x v="2"/>
    <n v="11333.8449"/>
    <n v="9140.1975000000002"/>
    <n v="2193.6473999999998"/>
    <n v="0.19354838709677419"/>
  </r>
  <r>
    <x v="531"/>
    <x v="0"/>
    <x v="3"/>
    <x v="1"/>
    <n v="46127.8125"/>
    <n v="38766"/>
    <n v="7361.8125"/>
    <n v="0.1595959595959596"/>
  </r>
  <r>
    <x v="531"/>
    <x v="1"/>
    <x v="2"/>
    <x v="4"/>
    <n v="219324"/>
    <n v="169715"/>
    <n v="49609"/>
    <n v="0.22619047619047619"/>
  </r>
  <r>
    <x v="531"/>
    <x v="2"/>
    <x v="2"/>
    <x v="4"/>
    <n v="225706.25"/>
    <n v="167667.5"/>
    <n v="58038.75"/>
    <n v="0.25714285714285712"/>
  </r>
  <r>
    <x v="532"/>
    <x v="1"/>
    <x v="1"/>
    <x v="0"/>
    <n v="14269.237499999999"/>
    <n v="10013.5"/>
    <n v="4255.7374999999993"/>
    <n v="0.2982456140350877"/>
  </r>
  <r>
    <x v="532"/>
    <x v="3"/>
    <x v="1"/>
    <x v="4"/>
    <n v="9090.1036799999983"/>
    <n v="7549.92"/>
    <n v="1540.1836799999983"/>
    <n v="0.16943521594684369"/>
  </r>
  <r>
    <x v="532"/>
    <x v="4"/>
    <x v="1"/>
    <x v="2"/>
    <n v="4452.8399999999992"/>
    <n v="3515.3999999999996"/>
    <n v="937.4399999999996"/>
    <n v="0.21052631578947362"/>
  </r>
  <r>
    <x v="532"/>
    <x v="0"/>
    <x v="3"/>
    <x v="2"/>
    <n v="8870.8619999999992"/>
    <n v="7311.15"/>
    <n v="1559.7119999999995"/>
    <n v="0.17582417582417578"/>
  </r>
  <r>
    <x v="533"/>
    <x v="2"/>
    <x v="2"/>
    <x v="4"/>
    <n v="15532.439999999997"/>
    <n v="8825.25"/>
    <n v="6707.1899999999969"/>
    <n v="0.43181818181818171"/>
  </r>
  <r>
    <x v="534"/>
    <x v="2"/>
    <x v="4"/>
    <x v="1"/>
    <n v="11040.689423076921"/>
    <n v="6903.75"/>
    <n v="4136.9394230769212"/>
    <n v="0.37469937469937459"/>
  </r>
  <r>
    <x v="535"/>
    <x v="2"/>
    <x v="2"/>
    <x v="1"/>
    <n v="388701.92307692301"/>
    <n v="250249.99999999997"/>
    <n v="138451.92307692303"/>
    <n v="0.35619047619047617"/>
  </r>
  <r>
    <x v="535"/>
    <x v="4"/>
    <x v="0"/>
    <x v="3"/>
    <n v="73719.45"/>
    <n v="70612.5"/>
    <n v="3106.9499999999971"/>
    <n v="4.2145593869731761E-2"/>
  </r>
  <r>
    <x v="536"/>
    <x v="3"/>
    <x v="3"/>
    <x v="4"/>
    <n v="6552.3780000000006"/>
    <n v="5087.25"/>
    <n v="1465.1280000000006"/>
    <n v="0.22360248447204975"/>
  </r>
  <r>
    <x v="537"/>
    <x v="2"/>
    <x v="2"/>
    <x v="4"/>
    <n v="239051.4"/>
    <n v="188916"/>
    <n v="50135.399999999994"/>
    <n v="0.20972644376899693"/>
  </r>
  <r>
    <x v="538"/>
    <x v="4"/>
    <x v="0"/>
    <x v="1"/>
    <n v="84931.087499999994"/>
    <n v="75981.36"/>
    <n v="8949.7274999999936"/>
    <n v="0.10537634408602144"/>
  </r>
  <r>
    <x v="538"/>
    <x v="3"/>
    <x v="2"/>
    <x v="4"/>
    <n v="230864.72499999998"/>
    <n v="188461"/>
    <n v="42403.724999999977"/>
    <n v="0.18367346938775503"/>
  </r>
  <r>
    <x v="539"/>
    <x v="0"/>
    <x v="0"/>
    <x v="1"/>
    <n v="98373.389423076922"/>
    <n v="84378"/>
    <n v="13995.389423076922"/>
    <n v="0.1422680412371134"/>
  </r>
  <r>
    <x v="539"/>
    <x v="2"/>
    <x v="0"/>
    <x v="1"/>
    <n v="160864.12427884617"/>
    <n v="135190.86000000002"/>
    <n v="25673.264278846153"/>
    <n v="0.15959595959595957"/>
  </r>
  <r>
    <x v="540"/>
    <x v="0"/>
    <x v="1"/>
    <x v="4"/>
    <n v="14079.56004"/>
    <n v="11051.460000000001"/>
    <n v="3028.1000399999994"/>
    <n v="0.21507064364207215"/>
  </r>
  <r>
    <x v="541"/>
    <x v="0"/>
    <x v="0"/>
    <x v="0"/>
    <n v="27734.773499999999"/>
    <n v="21252.699999999997"/>
    <n v="6482.0735000000022"/>
    <n v="0.23371647509578553"/>
  </r>
  <r>
    <x v="542"/>
    <x v="2"/>
    <x v="0"/>
    <x v="4"/>
    <n v="12310.199999999999"/>
    <n v="6839"/>
    <n v="5471.1999999999989"/>
    <n v="0.44444444444444442"/>
  </r>
  <r>
    <x v="543"/>
    <x v="0"/>
    <x v="4"/>
    <x v="4"/>
    <n v="114422.96249999999"/>
    <n v="85858.5"/>
    <n v="28564.462499999994"/>
    <n v="0.24963924963924961"/>
  </r>
  <r>
    <x v="544"/>
    <x v="2"/>
    <x v="2"/>
    <x v="1"/>
    <n v="264088.97307692305"/>
    <n v="221941.44"/>
    <n v="42147.53307692305"/>
    <n v="0.15959595959595951"/>
  </r>
  <r>
    <x v="544"/>
    <x v="0"/>
    <x v="1"/>
    <x v="1"/>
    <n v="363168.2350961538"/>
    <n v="308322.42"/>
    <n v="54845.815096153819"/>
    <n v="0.15102040816326526"/>
  </r>
  <r>
    <x v="544"/>
    <x v="2"/>
    <x v="4"/>
    <x v="4"/>
    <n v="410258.18399999995"/>
    <n v="354375.83999999997"/>
    <n v="55882.343999999983"/>
    <n v="0.13621262458471758"/>
  </r>
  <r>
    <x v="545"/>
    <x v="4"/>
    <x v="3"/>
    <x v="4"/>
    <n v="145697.82499999998"/>
    <n v="118936.99999999999"/>
    <n v="26760.824999999997"/>
    <n v="0.18367346938775511"/>
  </r>
  <r>
    <x v="545"/>
    <x v="1"/>
    <x v="1"/>
    <x v="4"/>
    <n v="382208.52600000001"/>
    <n v="308615.58"/>
    <n v="73592.945999999996"/>
    <n v="0.19254658385093165"/>
  </r>
  <r>
    <x v="546"/>
    <x v="2"/>
    <x v="0"/>
    <x v="0"/>
    <n v="12611.025"/>
    <n v="9891"/>
    <n v="2720.0249999999996"/>
    <n v="0.2156862745098039"/>
  </r>
  <r>
    <x v="546"/>
    <x v="1"/>
    <x v="0"/>
    <x v="1"/>
    <n v="32749.903846153844"/>
    <n v="27804"/>
    <n v="4945.9038461538439"/>
    <n v="0.15102040816326526"/>
  </r>
  <r>
    <x v="547"/>
    <x v="4"/>
    <x v="3"/>
    <x v="2"/>
    <n v="15580.0008"/>
    <n v="12840.660000000002"/>
    <n v="2739.3407999999981"/>
    <n v="0.1758241758241757"/>
  </r>
  <r>
    <x v="548"/>
    <x v="2"/>
    <x v="3"/>
    <x v="3"/>
    <n v="43747.199999999997"/>
    <n v="39200"/>
    <n v="4547.1999999999971"/>
    <n v="0.10394265232974904"/>
  </r>
  <r>
    <x v="549"/>
    <x v="3"/>
    <x v="0"/>
    <x v="4"/>
    <n v="30630.056799999995"/>
    <n v="16646.77"/>
    <n v="13983.286799999994"/>
    <n v="0.4565217391304347"/>
  </r>
  <r>
    <x v="550"/>
    <x v="3"/>
    <x v="3"/>
    <x v="4"/>
    <n v="29105.999999999996"/>
    <n v="24570"/>
    <n v="4535.9999999999964"/>
    <n v="0.15584415584415573"/>
  </r>
  <r>
    <x v="550"/>
    <x v="0"/>
    <x v="4"/>
    <x v="4"/>
    <n v="740534.25600000005"/>
    <n v="632311.67999999993"/>
    <n v="108222.57600000012"/>
    <n v="0.1461412151067325"/>
  </r>
  <r>
    <x v="550"/>
    <x v="2"/>
    <x v="3"/>
    <x v="3"/>
    <n v="225855"/>
    <n v="188212.5"/>
    <n v="37642.5"/>
    <n v="0.16666666666666666"/>
  </r>
  <r>
    <x v="551"/>
    <x v="0"/>
    <x v="4"/>
    <x v="4"/>
    <n v="3475.8483200000001"/>
    <n v="2698.64"/>
    <n v="777.20832000000019"/>
    <n v="0.22360248447204975"/>
  </r>
  <r>
    <x v="552"/>
    <x v="0"/>
    <x v="0"/>
    <x v="1"/>
    <n v="114899.27884615383"/>
    <n v="106218"/>
    <n v="8681.2788461538294"/>
    <n v="7.5555555555555418E-2"/>
  </r>
  <r>
    <x v="552"/>
    <x v="3"/>
    <x v="0"/>
    <x v="4"/>
    <n v="1152244.7999999998"/>
    <n v="891618"/>
    <n v="260626.79999999981"/>
    <n v="0.22619047619047605"/>
  </r>
  <r>
    <x v="552"/>
    <x v="3"/>
    <x v="1"/>
    <x v="4"/>
    <n v="17766.344400000002"/>
    <n v="10329.27"/>
    <n v="7437.0744000000013"/>
    <n v="0.41860465116279072"/>
  </r>
  <r>
    <x v="552"/>
    <x v="4"/>
    <x v="3"/>
    <x v="3"/>
    <n v="26651.1"/>
    <n v="22662.5"/>
    <n v="3988.5999999999985"/>
    <n v="0.14965986394557818"/>
  </r>
  <r>
    <x v="553"/>
    <x v="2"/>
    <x v="0"/>
    <x v="1"/>
    <n v="97233.230769230751"/>
    <n v="85155.839999999997"/>
    <n v="12077.390769230755"/>
    <n v="0.12421052631578935"/>
  </r>
  <r>
    <x v="554"/>
    <x v="0"/>
    <x v="4"/>
    <x v="4"/>
    <n v="31776.998399999997"/>
    <n v="16550.52"/>
    <n v="15226.478399999996"/>
    <n v="0.47916666666666657"/>
  </r>
  <r>
    <x v="555"/>
    <x v="0"/>
    <x v="4"/>
    <x v="4"/>
    <n v="12024.788159999998"/>
    <n v="9760.3799999999992"/>
    <n v="2264.408159999999"/>
    <n v="0.18831168831168826"/>
  </r>
  <r>
    <x v="556"/>
    <x v="2"/>
    <x v="0"/>
    <x v="0"/>
    <n v="18757.935000000001"/>
    <n v="13303.5"/>
    <n v="5454.4350000000013"/>
    <n v="0.29078014184397166"/>
  </r>
  <r>
    <x v="556"/>
    <x v="0"/>
    <x v="0"/>
    <x v="1"/>
    <n v="59745.535096153842"/>
    <n v="57135.96"/>
    <n v="2609.5750961538433"/>
    <n v="4.3678160919540188E-2"/>
  </r>
  <r>
    <x v="556"/>
    <x v="3"/>
    <x v="4"/>
    <x v="1"/>
    <n v="430998.54807692301"/>
    <n v="421871.51999999996"/>
    <n v="9127.0280769230449"/>
    <n v="2.1176470588235224E-2"/>
  </r>
  <r>
    <x v="556"/>
    <x v="3"/>
    <x v="2"/>
    <x v="4"/>
    <n v="16083.689999999999"/>
    <n v="9243.5"/>
    <n v="6840.1899999999987"/>
    <n v="0.42528735632183906"/>
  </r>
  <r>
    <x v="556"/>
    <x v="0"/>
    <x v="0"/>
    <x v="3"/>
    <n v="674274.88799999992"/>
    <n v="573363"/>
    <n v="100911.88799999992"/>
    <n v="0.14965986394557812"/>
  </r>
  <r>
    <x v="557"/>
    <x v="2"/>
    <x v="0"/>
    <x v="4"/>
    <n v="12863.759999999998"/>
    <n v="6916"/>
    <n v="5947.7599999999984"/>
    <n v="0.46236559139784938"/>
  </r>
  <r>
    <x v="557"/>
    <x v="2"/>
    <x v="2"/>
    <x v="2"/>
    <n v="1169.5319999999999"/>
    <n v="963.9"/>
    <n v="205.63199999999995"/>
    <n v="0.17582417582417578"/>
  </r>
  <r>
    <x v="558"/>
    <x v="3"/>
    <x v="0"/>
    <x v="1"/>
    <n v="161859.72115384613"/>
    <n v="141755.04"/>
    <n v="20104.681153846119"/>
    <n v="0.12421052631578927"/>
  </r>
  <r>
    <x v="558"/>
    <x v="0"/>
    <x v="1"/>
    <x v="2"/>
    <n v="6768.384"/>
    <n v="5076.2879999999996"/>
    <n v="1692.0960000000005"/>
    <n v="0.25000000000000006"/>
  </r>
  <r>
    <x v="559"/>
    <x v="4"/>
    <x v="0"/>
    <x v="4"/>
    <n v="17653.435799999999"/>
    <n v="9699.69"/>
    <n v="7953.7457999999988"/>
    <n v="0.4505494505494505"/>
  </r>
  <r>
    <x v="559"/>
    <x v="4"/>
    <x v="3"/>
    <x v="4"/>
    <n v="223815.242"/>
    <n v="186812.08000000002"/>
    <n v="37003.161999999982"/>
    <n v="0.16532905296950232"/>
  </r>
  <r>
    <x v="560"/>
    <x v="3"/>
    <x v="1"/>
    <x v="1"/>
    <n v="16492.067307692305"/>
    <n v="13860"/>
    <n v="2632.0673076923049"/>
    <n v="0.15959595959595946"/>
  </r>
  <r>
    <x v="561"/>
    <x v="2"/>
    <x v="3"/>
    <x v="4"/>
    <n v="172264.4"/>
    <n v="136136"/>
    <n v="36128.399999999994"/>
    <n v="0.20972644376899693"/>
  </r>
  <r>
    <x v="561"/>
    <x v="2"/>
    <x v="3"/>
    <x v="4"/>
    <n v="202482.69999999998"/>
    <n v="174902"/>
    <n v="27580.699999999983"/>
    <n v="0.13621262458471753"/>
  </r>
  <r>
    <x v="562"/>
    <x v="2"/>
    <x v="1"/>
    <x v="4"/>
    <n v="38017.979999999996"/>
    <n v="19008.989999999998"/>
    <n v="19008.989999999998"/>
    <n v="0.5"/>
  </r>
  <r>
    <x v="563"/>
    <x v="1"/>
    <x v="4"/>
    <x v="0"/>
    <n v="12967.5"/>
    <n v="8645"/>
    <n v="4322.5"/>
    <n v="0.33333333333333331"/>
  </r>
  <r>
    <x v="564"/>
    <x v="1"/>
    <x v="0"/>
    <x v="3"/>
    <n v="245085.74999999997"/>
    <n v="224437.5"/>
    <n v="20648.249999999971"/>
    <n v="8.4249084249084144E-2"/>
  </r>
  <r>
    <x v="564"/>
    <x v="2"/>
    <x v="0"/>
    <x v="2"/>
    <n v="16255.590119999997"/>
    <n v="13698.531000000001"/>
    <n v="2557.0591199999963"/>
    <n v="0.15730337078651666"/>
  </r>
  <r>
    <x v="565"/>
    <x v="2"/>
    <x v="2"/>
    <x v="4"/>
    <n v="6869.45"/>
    <n v="3615.4999999999995"/>
    <n v="3253.9500000000003"/>
    <n v="0.47368421052631582"/>
  </r>
  <r>
    <x v="565"/>
    <x v="2"/>
    <x v="2"/>
    <x v="4"/>
    <n v="1743.35"/>
    <n v="1025.5"/>
    <n v="717.84999999999991"/>
    <n v="0.41176470588235292"/>
  </r>
  <r>
    <x v="566"/>
    <x v="1"/>
    <x v="0"/>
    <x v="0"/>
    <n v="24625.5471"/>
    <n v="16582.859999999997"/>
    <n v="8042.6871000000028"/>
    <n v="0.32659932659932672"/>
  </r>
  <r>
    <x v="566"/>
    <x v="1"/>
    <x v="1"/>
    <x v="4"/>
    <n v="6612.0599999999995"/>
    <n v="3632.9999999999995"/>
    <n v="2979.06"/>
    <n v="0.45054945054945056"/>
  </r>
  <r>
    <x v="566"/>
    <x v="3"/>
    <x v="4"/>
    <x v="3"/>
    <n v="263932.326"/>
    <n v="236498.49999999997"/>
    <n v="27433.82600000003"/>
    <n v="0.10394265232974921"/>
  </r>
  <r>
    <x v="567"/>
    <x v="3"/>
    <x v="3"/>
    <x v="1"/>
    <n v="173939.0625"/>
    <n v="152334"/>
    <n v="21605.0625"/>
    <n v="0.12421052631578948"/>
  </r>
  <r>
    <x v="568"/>
    <x v="1"/>
    <x v="3"/>
    <x v="4"/>
    <n v="13732.949999999999"/>
    <n v="7892.4999999999991"/>
    <n v="5840.45"/>
    <n v="0.42528735632183912"/>
  </r>
  <r>
    <x v="569"/>
    <x v="1"/>
    <x v="4"/>
    <x v="0"/>
    <n v="10236.24"/>
    <n v="7108.5"/>
    <n v="3127.74"/>
    <n v="0.30555555555555552"/>
  </r>
  <r>
    <x v="569"/>
    <x v="4"/>
    <x v="4"/>
    <x v="4"/>
    <n v="3601.8919999999998"/>
    <n v="2796.5"/>
    <n v="805.39199999999983"/>
    <n v="0.22360248447204964"/>
  </r>
  <r>
    <x v="569"/>
    <x v="1"/>
    <x v="4"/>
    <x v="2"/>
    <n v="3756.6899999999996"/>
    <n v="3165.75"/>
    <n v="590.9399999999996"/>
    <n v="0.15730337078651677"/>
  </r>
  <r>
    <x v="570"/>
    <x v="2"/>
    <x v="3"/>
    <x v="4"/>
    <n v="71997.618000000002"/>
    <n v="40448.1"/>
    <n v="31549.518000000004"/>
    <n v="0.43820224719101125"/>
  </r>
  <r>
    <x v="571"/>
    <x v="1"/>
    <x v="0"/>
    <x v="0"/>
    <n v="9146.7494999999999"/>
    <n v="6775.37"/>
    <n v="2371.3795"/>
    <n v="0.25925925925925924"/>
  </r>
  <r>
    <x v="571"/>
    <x v="3"/>
    <x v="0"/>
    <x v="4"/>
    <n v="15629.1072"/>
    <n v="8140.16"/>
    <n v="7488.9472000000005"/>
    <n v="0.47916666666666669"/>
  </r>
  <r>
    <x v="571"/>
    <x v="0"/>
    <x v="3"/>
    <x v="3"/>
    <n v="230060.81699999998"/>
    <n v="215412.75"/>
    <n v="14648.066999999981"/>
    <n v="6.3670411985018646E-2"/>
  </r>
  <r>
    <x v="572"/>
    <x v="3"/>
    <x v="3"/>
    <x v="1"/>
    <n v="12572.952403846151"/>
    <n v="7861.8749999999991"/>
    <n v="4711.0774038461523"/>
    <n v="0.37469937469937464"/>
  </r>
  <r>
    <x v="573"/>
    <x v="2"/>
    <x v="0"/>
    <x v="4"/>
    <n v="10393.949999999999"/>
    <n v="5470.5"/>
    <n v="4923.4499999999989"/>
    <n v="0.47368421052631571"/>
  </r>
  <r>
    <x v="573"/>
    <x v="3"/>
    <x v="0"/>
    <x v="3"/>
    <n v="322938"/>
    <n v="305812.5"/>
    <n v="17125.5"/>
    <n v="5.3030303030303032E-2"/>
  </r>
  <r>
    <x v="573"/>
    <x v="0"/>
    <x v="2"/>
    <x v="3"/>
    <n v="135088.79999999999"/>
    <n v="130899.99999999999"/>
    <n v="4188.8000000000029"/>
    <n v="3.100775193798452E-2"/>
  </r>
  <r>
    <x v="574"/>
    <x v="1"/>
    <x v="1"/>
    <x v="0"/>
    <n v="49656.946499999991"/>
    <n v="34846.979999999996"/>
    <n v="14809.966499999995"/>
    <n v="0.29824561403508765"/>
  </r>
  <r>
    <x v="574"/>
    <x v="1"/>
    <x v="1"/>
    <x v="4"/>
    <n v="223972.875"/>
    <n v="195741"/>
    <n v="28231.875"/>
    <n v="0.12605042016806722"/>
  </r>
  <r>
    <x v="574"/>
    <x v="1"/>
    <x v="3"/>
    <x v="4"/>
    <n v="3139.4035400000002"/>
    <n v="2385.5650000000001"/>
    <n v="753.83854000000019"/>
    <n v="0.2401215805471125"/>
  </r>
  <r>
    <x v="575"/>
    <x v="2"/>
    <x v="4"/>
    <x v="4"/>
    <n v="22351.564619999997"/>
    <n v="18142.50375"/>
    <n v="4209.0608699999975"/>
    <n v="0.18831168831168824"/>
  </r>
  <r>
    <x v="576"/>
    <x v="3"/>
    <x v="1"/>
    <x v="4"/>
    <n v="7096.32"/>
    <n v="3695.9999999999995"/>
    <n v="3400.32"/>
    <n v="0.47916666666666669"/>
  </r>
  <r>
    <x v="576"/>
    <x v="2"/>
    <x v="2"/>
    <x v="4"/>
    <n v="2464.3322549999998"/>
    <n v="1778.0174999999999"/>
    <n v="686.31475499999988"/>
    <n v="0.27849927849927847"/>
  </r>
  <r>
    <x v="577"/>
    <x v="4"/>
    <x v="0"/>
    <x v="0"/>
    <n v="21025.62"/>
    <n v="14017.08"/>
    <n v="7008.5399999999991"/>
    <n v="0.33333333333333331"/>
  </r>
  <r>
    <x v="577"/>
    <x v="0"/>
    <x v="4"/>
    <x v="4"/>
    <n v="1099.952"/>
    <n v="854"/>
    <n v="245.952"/>
    <n v="0.2236024844720497"/>
  </r>
  <r>
    <x v="578"/>
    <x v="4"/>
    <x v="4"/>
    <x v="0"/>
    <n v="3882.5324999999998"/>
    <n v="2614.5"/>
    <n v="1268.0324999999998"/>
    <n v="0.32659932659932656"/>
  </r>
  <r>
    <x v="578"/>
    <x v="1"/>
    <x v="1"/>
    <x v="3"/>
    <n v="250262.83799999999"/>
    <n v="242502.74999999997"/>
    <n v="7760.0880000000179"/>
    <n v="3.1007751937984569E-2"/>
  </r>
  <r>
    <x v="578"/>
    <x v="4"/>
    <x v="1"/>
    <x v="2"/>
    <n v="3185.0279999999998"/>
    <n v="2412.8999999999996"/>
    <n v="772.12800000000016"/>
    <n v="0.24242424242424249"/>
  </r>
  <r>
    <x v="578"/>
    <x v="3"/>
    <x v="1"/>
    <x v="2"/>
    <n v="4700.4719999999998"/>
    <n v="3597.2999999999997"/>
    <n v="1103.172"/>
    <n v="0.23469387755102042"/>
  </r>
  <r>
    <x v="579"/>
    <x v="3"/>
    <x v="3"/>
    <x v="0"/>
    <n v="10847.13"/>
    <n v="7692.9999999999991"/>
    <n v="3154.13"/>
    <n v="0.29078014184397166"/>
  </r>
  <r>
    <x v="579"/>
    <x v="0"/>
    <x v="2"/>
    <x v="4"/>
    <n v="1226.2740000000001"/>
    <n v="1018.4999999999999"/>
    <n v="207.77400000000023"/>
    <n v="0.16943521594684402"/>
  </r>
  <r>
    <x v="579"/>
    <x v="1"/>
    <x v="2"/>
    <x v="3"/>
    <n v="237635.99999999997"/>
    <n v="215250"/>
    <n v="22385.999999999971"/>
    <n v="9.4202898550724529E-2"/>
  </r>
  <r>
    <x v="580"/>
    <x v="2"/>
    <x v="3"/>
    <x v="4"/>
    <n v="425493.06799999997"/>
    <n v="336255.92"/>
    <n v="89237.147999999986"/>
    <n v="0.20972644376899693"/>
  </r>
  <r>
    <x v="581"/>
    <x v="3"/>
    <x v="2"/>
    <x v="4"/>
    <n v="221954.54049999997"/>
    <n v="191721.53"/>
    <n v="30233.010499999975"/>
    <n v="0.1362126245847175"/>
  </r>
  <r>
    <x v="582"/>
    <x v="2"/>
    <x v="4"/>
    <x v="3"/>
    <n v="100618.56000000001"/>
    <n v="90160"/>
    <n v="10458.560000000012"/>
    <n v="0.10394265232974921"/>
  </r>
  <r>
    <x v="583"/>
    <x v="4"/>
    <x v="0"/>
    <x v="0"/>
    <n v="7550.5499999999993"/>
    <n v="5355"/>
    <n v="2195.5499999999993"/>
    <n v="0.29078014184397155"/>
  </r>
  <r>
    <x v="583"/>
    <x v="0"/>
    <x v="3"/>
    <x v="0"/>
    <n v="60500.886599999998"/>
    <n v="45834.004999999997"/>
    <n v="14666.881600000001"/>
    <n v="0.24242424242424243"/>
  </r>
  <r>
    <x v="583"/>
    <x v="3"/>
    <x v="2"/>
    <x v="4"/>
    <n v="28530.221999999998"/>
    <n v="15175.65"/>
    <n v="13354.571999999998"/>
    <n v="0.46808510638297868"/>
  </r>
  <r>
    <x v="583"/>
    <x v="4"/>
    <x v="3"/>
    <x v="3"/>
    <n v="80595.395999999993"/>
    <n v="68533.5"/>
    <n v="12061.895999999993"/>
    <n v="0.14965986394557815"/>
  </r>
  <r>
    <x v="583"/>
    <x v="3"/>
    <x v="1"/>
    <x v="3"/>
    <n v="815104.08000000007"/>
    <n v="754726"/>
    <n v="60378.080000000075"/>
    <n v="7.4074074074074153E-2"/>
  </r>
  <r>
    <x v="584"/>
    <x v="3"/>
    <x v="1"/>
    <x v="4"/>
    <n v="772.73049000000003"/>
    <n v="593.495"/>
    <n v="179.23549000000003"/>
    <n v="0.23195084485407069"/>
  </r>
  <r>
    <x v="584"/>
    <x v="1"/>
    <x v="3"/>
    <x v="2"/>
    <n v="2207.0160000000001"/>
    <n v="1902.6"/>
    <n v="304.41600000000017"/>
    <n v="0.1379310344827587"/>
  </r>
  <r>
    <x v="585"/>
    <x v="0"/>
    <x v="0"/>
    <x v="4"/>
    <n v="13176.186975000001"/>
    <n v="9906.9074999999993"/>
    <n v="3269.2794750000012"/>
    <n v="0.24812030075187977"/>
  </r>
  <r>
    <x v="586"/>
    <x v="1"/>
    <x v="4"/>
    <x v="4"/>
    <n v="3917.1824999999999"/>
    <n v="2945.25"/>
    <n v="971.93249999999989"/>
    <n v="0.24812030075187969"/>
  </r>
  <r>
    <x v="587"/>
    <x v="1"/>
    <x v="3"/>
    <x v="4"/>
    <n v="193336.84999999998"/>
    <n v="152789"/>
    <n v="40547.849999999977"/>
    <n v="0.20972644376899688"/>
  </r>
  <r>
    <x v="588"/>
    <x v="4"/>
    <x v="2"/>
    <x v="0"/>
    <n v="8430.9120000000003"/>
    <n v="6612.48"/>
    <n v="1818.4320000000007"/>
    <n v="0.21568627450980399"/>
  </r>
  <r>
    <x v="588"/>
    <x v="2"/>
    <x v="0"/>
    <x v="4"/>
    <n v="5150.1449999999995"/>
    <n v="3753.7499999999995"/>
    <n v="1396.395"/>
    <n v="0.2711370262390671"/>
  </r>
  <r>
    <x v="588"/>
    <x v="4"/>
    <x v="0"/>
    <x v="4"/>
    <n v="55007.147999999994"/>
    <n v="28354.199999999997"/>
    <n v="26652.947999999997"/>
    <n v="0.4845360824742268"/>
  </r>
  <r>
    <x v="588"/>
    <x v="1"/>
    <x v="3"/>
    <x v="2"/>
    <n v="41012.183519999999"/>
    <n v="34953.565499999997"/>
    <n v="6058.6180200000017"/>
    <n v="0.14772727272727276"/>
  </r>
  <r>
    <x v="589"/>
    <x v="3"/>
    <x v="1"/>
    <x v="0"/>
    <n v="14949.663749999998"/>
    <n v="11198.25"/>
    <n v="3751.4137499999979"/>
    <n v="0.25093632958801487"/>
  </r>
  <r>
    <x v="589"/>
    <x v="2"/>
    <x v="2"/>
    <x v="1"/>
    <n v="33761.538461538454"/>
    <n v="29567.999999999996"/>
    <n v="4193.5384615384573"/>
    <n v="0.12421052631578938"/>
  </r>
  <r>
    <x v="589"/>
    <x v="0"/>
    <x v="0"/>
    <x v="3"/>
    <n v="278054.32199999999"/>
    <n v="254628.49999999997"/>
    <n v="23425.822000000015"/>
    <n v="8.4249084249084311E-2"/>
  </r>
  <r>
    <x v="590"/>
    <x v="3"/>
    <x v="1"/>
    <x v="0"/>
    <n v="11724.772499999999"/>
    <n v="8984.5"/>
    <n v="2740.2724999999991"/>
    <n v="0.23371647509578539"/>
  </r>
  <r>
    <x v="590"/>
    <x v="1"/>
    <x v="1"/>
    <x v="4"/>
    <n v="3069.8989999999994"/>
    <n v="2332.75"/>
    <n v="737.14899999999943"/>
    <n v="0.24012158054711233"/>
  </r>
  <r>
    <x v="590"/>
    <x v="1"/>
    <x v="4"/>
    <x v="4"/>
    <n v="37504.6"/>
    <n v="31303.999999999996"/>
    <n v="6200.6000000000022"/>
    <n v="0.16532905296950248"/>
  </r>
  <r>
    <x v="590"/>
    <x v="2"/>
    <x v="2"/>
    <x v="4"/>
    <n v="18341.431499999999"/>
    <n v="9653.3850000000002"/>
    <n v="8688.0464999999986"/>
    <n v="0.47368421052631576"/>
  </r>
  <r>
    <x v="591"/>
    <x v="2"/>
    <x v="3"/>
    <x v="0"/>
    <n v="2366.6999999999998"/>
    <n v="1715"/>
    <n v="651.69999999999982"/>
    <n v="0.27536231884057966"/>
  </r>
  <r>
    <x v="591"/>
    <x v="1"/>
    <x v="0"/>
    <x v="4"/>
    <n v="24384.822000000004"/>
    <n v="12970.65"/>
    <n v="11414.172000000004"/>
    <n v="0.46808510638297884"/>
  </r>
  <r>
    <x v="592"/>
    <x v="4"/>
    <x v="3"/>
    <x v="4"/>
    <n v="1342377.4909999999"/>
    <n v="1017545.62"/>
    <n v="324831.87099999993"/>
    <n v="0.24198250728862969"/>
  </r>
  <r>
    <x v="593"/>
    <x v="2"/>
    <x v="3"/>
    <x v="4"/>
    <n v="3647.2169999999992"/>
    <n v="3029.25"/>
    <n v="617.96699999999919"/>
    <n v="0.16943521594684366"/>
  </r>
  <r>
    <x v="593"/>
    <x v="1"/>
    <x v="3"/>
    <x v="2"/>
    <n v="4569.3270000000002"/>
    <n v="3939.0749999999998"/>
    <n v="630.25200000000041"/>
    <n v="0.1379310344827587"/>
  </r>
  <r>
    <x v="594"/>
    <x v="4"/>
    <x v="2"/>
    <x v="4"/>
    <n v="6586.579999999999"/>
    <n v="3503.5"/>
    <n v="3083.079999999999"/>
    <n v="0.46808510638297862"/>
  </r>
  <r>
    <x v="594"/>
    <x v="1"/>
    <x v="0"/>
    <x v="4"/>
    <n v="7595.2799999999988"/>
    <n v="4315.5"/>
    <n v="3279.7799999999988"/>
    <n v="0.43181818181818171"/>
  </r>
  <r>
    <x v="595"/>
    <x v="3"/>
    <x v="1"/>
    <x v="4"/>
    <n v="83714.049999999988"/>
    <n v="66157"/>
    <n v="17557.049999999988"/>
    <n v="0.20972644376899685"/>
  </r>
  <r>
    <x v="595"/>
    <x v="4"/>
    <x v="3"/>
    <x v="3"/>
    <n v="203716.8"/>
    <n v="176837.5"/>
    <n v="26879.299999999988"/>
    <n v="0.13194444444444439"/>
  </r>
  <r>
    <x v="595"/>
    <x v="1"/>
    <x v="0"/>
    <x v="3"/>
    <n v="976410.16199999989"/>
    <n v="874919.5"/>
    <n v="101490.66199999989"/>
    <n v="0.103942652329749"/>
  </r>
  <r>
    <x v="596"/>
    <x v="0"/>
    <x v="0"/>
    <x v="1"/>
    <n v="14675.769230769229"/>
    <n v="6359.5"/>
    <n v="8316.2692307692287"/>
    <n v="0.56666666666666665"/>
  </r>
  <r>
    <x v="597"/>
    <x v="1"/>
    <x v="2"/>
    <x v="4"/>
    <n v="244507.64799999999"/>
    <n v="206402.55999999997"/>
    <n v="38105.088000000018"/>
    <n v="0.15584415584415592"/>
  </r>
  <r>
    <x v="598"/>
    <x v="2"/>
    <x v="0"/>
    <x v="1"/>
    <n v="33761.538461538454"/>
    <n v="29567.999999999996"/>
    <n v="4193.5384615384573"/>
    <n v="0.12421052631578938"/>
  </r>
  <r>
    <x v="599"/>
    <x v="1"/>
    <x v="2"/>
    <x v="0"/>
    <n v="14268.754500000001"/>
    <n v="11061.05"/>
    <n v="3207.7045000000016"/>
    <n v="0.22480620155038769"/>
  </r>
  <r>
    <x v="599"/>
    <x v="0"/>
    <x v="3"/>
    <x v="1"/>
    <n v="3711.0149999999994"/>
    <n v="2320.5"/>
    <n v="1390.5149999999994"/>
    <n v="0.37469937469937459"/>
  </r>
  <r>
    <x v="600"/>
    <x v="1"/>
    <x v="2"/>
    <x v="0"/>
    <n v="7630.5599999999986"/>
    <n v="5299"/>
    <n v="2331.5599999999986"/>
    <n v="0.30555555555555541"/>
  </r>
  <r>
    <x v="600"/>
    <x v="0"/>
    <x v="3"/>
    <x v="4"/>
    <n v="993190.79999999993"/>
    <n v="768540.5"/>
    <n v="224650.29999999993"/>
    <n v="0.22619047619047614"/>
  </r>
  <r>
    <x v="601"/>
    <x v="0"/>
    <x v="0"/>
    <x v="4"/>
    <n v="13587.3696"/>
    <n v="7384.44"/>
    <n v="6202.9296000000004"/>
    <n v="0.45652173913043481"/>
  </r>
  <r>
    <x v="601"/>
    <x v="4"/>
    <x v="3"/>
    <x v="4"/>
    <n v="437048.68900000001"/>
    <n v="377517.13999999996"/>
    <n v="59531.549000000057"/>
    <n v="0.13621262458471772"/>
  </r>
  <r>
    <x v="601"/>
    <x v="0"/>
    <x v="0"/>
    <x v="2"/>
    <n v="40933.791360000003"/>
    <n v="34494.768000000004"/>
    <n v="6439.0233599999992"/>
    <n v="0.15730337078651682"/>
  </r>
  <r>
    <x v="602"/>
    <x v="4"/>
    <x v="0"/>
    <x v="0"/>
    <n v="10193.242499999998"/>
    <n v="7229.2499999999991"/>
    <n v="2963.9924999999994"/>
    <n v="0.29078014184397161"/>
  </r>
  <r>
    <x v="603"/>
    <x v="0"/>
    <x v="2"/>
    <x v="3"/>
    <n v="108794.133"/>
    <n v="93465.75"/>
    <n v="15328.383000000002"/>
    <n v="0.14089347079037801"/>
  </r>
  <r>
    <x v="604"/>
    <x v="0"/>
    <x v="1"/>
    <x v="1"/>
    <n v="212943.6346153846"/>
    <n v="208434.24"/>
    <n v="4509.3946153846045"/>
    <n v="2.1176470588235245E-2"/>
  </r>
  <r>
    <x v="604"/>
    <x v="4"/>
    <x v="3"/>
    <x v="4"/>
    <n v="126314.65"/>
    <n v="109109"/>
    <n v="17205.649999999994"/>
    <n v="0.13621262458471756"/>
  </r>
  <r>
    <x v="604"/>
    <x v="1"/>
    <x v="4"/>
    <x v="4"/>
    <n v="606472.0199999999"/>
    <n v="511956.89999999997"/>
    <n v="94515.119999999937"/>
    <n v="0.15584415584415576"/>
  </r>
  <r>
    <x v="604"/>
    <x v="2"/>
    <x v="2"/>
    <x v="3"/>
    <n v="80608.5"/>
    <n v="74637.5"/>
    <n v="5971"/>
    <n v="7.407407407407407E-2"/>
  </r>
  <r>
    <x v="605"/>
    <x v="4"/>
    <x v="2"/>
    <x v="1"/>
    <n v="385103.6639423077"/>
    <n v="330315.72000000003"/>
    <n v="54787.943942307669"/>
    <n v="0.14226804123711334"/>
  </r>
  <r>
    <x v="605"/>
    <x v="3"/>
    <x v="4"/>
    <x v="4"/>
    <n v="24021.068609999998"/>
    <n v="17508.067500000001"/>
    <n v="6513.0011099999974"/>
    <n v="0.27113702623906699"/>
  </r>
  <r>
    <x v="606"/>
    <x v="1"/>
    <x v="0"/>
    <x v="4"/>
    <n v="38794.014000000003"/>
    <n v="21552.23"/>
    <n v="17241.784000000003"/>
    <n v="0.44444444444444448"/>
  </r>
  <r>
    <x v="607"/>
    <x v="4"/>
    <x v="4"/>
    <x v="4"/>
    <n v="47159.604800000001"/>
    <n v="26494.16"/>
    <n v="20665.444800000001"/>
    <n v="0.43820224719101125"/>
  </r>
  <r>
    <x v="607"/>
    <x v="4"/>
    <x v="4"/>
    <x v="3"/>
    <n v="187366.31549999997"/>
    <n v="160967.625"/>
    <n v="26398.690499999968"/>
    <n v="0.14089347079037787"/>
  </r>
  <r>
    <x v="608"/>
    <x v="4"/>
    <x v="0"/>
    <x v="0"/>
    <n v="3723.1424999999999"/>
    <n v="2482.0949999999998"/>
    <n v="1241.0475000000001"/>
    <n v="0.33333333333333337"/>
  </r>
  <r>
    <x v="609"/>
    <x v="2"/>
    <x v="1"/>
    <x v="4"/>
    <n v="66984.372000000003"/>
    <n v="54086.76"/>
    <n v="12897.612000000001"/>
    <n v="0.19254658385093168"/>
  </r>
  <r>
    <x v="610"/>
    <x v="0"/>
    <x v="2"/>
    <x v="4"/>
    <n v="446594.01150000002"/>
    <n v="381328.22"/>
    <n v="65265.79150000005"/>
    <n v="0.14614121510673245"/>
  </r>
  <r>
    <x v="610"/>
    <x v="0"/>
    <x v="2"/>
    <x v="3"/>
    <n v="166200.29999999999"/>
    <n v="148925"/>
    <n v="17275.299999999988"/>
    <n v="0.10394265232974904"/>
  </r>
  <r>
    <x v="611"/>
    <x v="4"/>
    <x v="0"/>
    <x v="0"/>
    <n v="3087.7181999999998"/>
    <n v="2393.58"/>
    <n v="694.13819999999987"/>
    <n v="0.22480620155038758"/>
  </r>
  <r>
    <x v="612"/>
    <x v="2"/>
    <x v="4"/>
    <x v="4"/>
    <n v="4951.4852799999999"/>
    <n v="3646.16"/>
    <n v="1305.32528"/>
    <n v="0.26362297496318116"/>
  </r>
  <r>
    <x v="612"/>
    <x v="3"/>
    <x v="2"/>
    <x v="2"/>
    <n v="7475.8319999999994"/>
    <n v="6161.4"/>
    <n v="1314.4319999999998"/>
    <n v="0.17582417582417581"/>
  </r>
  <r>
    <x v="613"/>
    <x v="3"/>
    <x v="3"/>
    <x v="4"/>
    <n v="9250.7099999999991"/>
    <n v="4973.5"/>
    <n v="4277.2099999999991"/>
    <n v="0.46236559139784938"/>
  </r>
  <r>
    <x v="614"/>
    <x v="3"/>
    <x v="4"/>
    <x v="4"/>
    <n v="32222.399999999998"/>
    <n v="24934"/>
    <n v="7288.3999999999978"/>
    <n v="0.22619047619047614"/>
  </r>
  <r>
    <x v="614"/>
    <x v="0"/>
    <x v="4"/>
    <x v="4"/>
    <n v="3604.5869999999995"/>
    <n v="2768.5"/>
    <n v="836.08699999999953"/>
    <n v="0.23195084485407055"/>
  </r>
  <r>
    <x v="615"/>
    <x v="1"/>
    <x v="0"/>
    <x v="0"/>
    <n v="24188.875199999999"/>
    <n v="16797.830000000002"/>
    <n v="7391.0451999999968"/>
    <n v="0.30555555555555547"/>
  </r>
  <r>
    <x v="615"/>
    <x v="1"/>
    <x v="0"/>
    <x v="1"/>
    <n v="68809.851923076931"/>
    <n v="62228.039999999994"/>
    <n v="6581.8119230769371"/>
    <n v="9.5652173913043675E-2"/>
  </r>
  <r>
    <x v="615"/>
    <x v="4"/>
    <x v="0"/>
    <x v="1"/>
    <n v="4766.1923076923067"/>
    <n v="2950.5"/>
    <n v="1815.6923076923067"/>
    <n v="0.38095238095238082"/>
  </r>
  <r>
    <x v="616"/>
    <x v="0"/>
    <x v="0"/>
    <x v="0"/>
    <n v="31321.187099999999"/>
    <n v="24279.989999999998"/>
    <n v="7041.1971000000012"/>
    <n v="0.22480620155038764"/>
  </r>
  <r>
    <x v="616"/>
    <x v="4"/>
    <x v="2"/>
    <x v="1"/>
    <n v="75339.620192307688"/>
    <n v="64621.2"/>
    <n v="10718.420192307691"/>
    <n v="0.1422680412371134"/>
  </r>
  <r>
    <x v="616"/>
    <x v="2"/>
    <x v="2"/>
    <x v="2"/>
    <n v="2561.2750799999999"/>
    <n v="2110.9409999999998"/>
    <n v="450.33408000000009"/>
    <n v="0.17582417582417587"/>
  </r>
  <r>
    <x v="617"/>
    <x v="3"/>
    <x v="4"/>
    <x v="4"/>
    <n v="8478.9599999999991"/>
    <n v="4326"/>
    <n v="4152.9599999999991"/>
    <n v="0.48979591836734687"/>
  </r>
  <r>
    <x v="618"/>
    <x v="1"/>
    <x v="3"/>
    <x v="4"/>
    <n v="15282.913800000002"/>
    <n v="12693.449999999999"/>
    <n v="2589.4638000000032"/>
    <n v="0.16943521594684405"/>
  </r>
  <r>
    <x v="619"/>
    <x v="1"/>
    <x v="1"/>
    <x v="4"/>
    <n v="1565.1999999999998"/>
    <n v="909.99999999999989"/>
    <n v="655.19999999999993"/>
    <n v="0.41860465116279072"/>
  </r>
  <r>
    <x v="620"/>
    <x v="2"/>
    <x v="3"/>
    <x v="1"/>
    <n v="93697.052884615376"/>
    <n v="91712.88"/>
    <n v="1984.172884615371"/>
    <n v="2.1176470588235151E-2"/>
  </r>
  <r>
    <x v="620"/>
    <x v="0"/>
    <x v="2"/>
    <x v="4"/>
    <n v="1825.9604999999997"/>
    <n v="1433.25"/>
    <n v="392.71049999999968"/>
    <n v="0.21507064364207207"/>
  </r>
  <r>
    <x v="621"/>
    <x v="4"/>
    <x v="4"/>
    <x v="4"/>
    <n v="1518.3"/>
    <n v="843.5"/>
    <n v="674.8"/>
    <n v="0.44444444444444442"/>
  </r>
  <r>
    <x v="622"/>
    <x v="0"/>
    <x v="0"/>
    <x v="1"/>
    <n v="14675.769230769229"/>
    <n v="6359.5"/>
    <n v="8316.2692307692287"/>
    <n v="0.56666666666666665"/>
  </r>
  <r>
    <x v="622"/>
    <x v="0"/>
    <x v="2"/>
    <x v="2"/>
    <n v="10575.599999999999"/>
    <n v="7931.7"/>
    <n v="2643.8999999999987"/>
    <n v="0.24999999999999992"/>
  </r>
  <r>
    <x v="623"/>
    <x v="3"/>
    <x v="2"/>
    <x v="3"/>
    <n v="239188.94999999998"/>
    <n v="201337.5"/>
    <n v="37851.449999999983"/>
    <n v="0.15824915824915819"/>
  </r>
  <r>
    <x v="624"/>
    <x v="0"/>
    <x v="0"/>
    <x v="4"/>
    <n v="61814.34"/>
    <n v="30907.17"/>
    <n v="30907.17"/>
    <n v="0.5"/>
  </r>
  <r>
    <x v="625"/>
    <x v="1"/>
    <x v="2"/>
    <x v="0"/>
    <n v="9270.24"/>
    <n v="6944"/>
    <n v="2326.2399999999998"/>
    <n v="0.25093632958801498"/>
  </r>
  <r>
    <x v="625"/>
    <x v="1"/>
    <x v="1"/>
    <x v="4"/>
    <n v="813021.53625"/>
    <n v="710539.83"/>
    <n v="102481.70625000005"/>
    <n v="0.12605042016806728"/>
  </r>
  <r>
    <x v="626"/>
    <x v="4"/>
    <x v="3"/>
    <x v="4"/>
    <n v="42617.389499999997"/>
    <n v="22430.204999999998"/>
    <n v="20187.184499999999"/>
    <n v="0.47368421052631582"/>
  </r>
  <r>
    <x v="627"/>
    <x v="3"/>
    <x v="3"/>
    <x v="4"/>
    <n v="4271.8935000000001"/>
    <n v="3211.95"/>
    <n v="1059.9435000000003"/>
    <n v="0.24812030075187977"/>
  </r>
  <r>
    <x v="628"/>
    <x v="0"/>
    <x v="4"/>
    <x v="4"/>
    <n v="53209.495499999997"/>
    <n v="29892.974999999999"/>
    <n v="23316.520499999999"/>
    <n v="0.43820224719101125"/>
  </r>
  <r>
    <x v="628"/>
    <x v="4"/>
    <x v="4"/>
    <x v="4"/>
    <n v="30933.548799999993"/>
    <n v="17575.88"/>
    <n v="13357.668799999992"/>
    <n v="0.43181818181818166"/>
  </r>
  <r>
    <x v="629"/>
    <x v="0"/>
    <x v="1"/>
    <x v="4"/>
    <n v="5642.49"/>
    <n v="2908.5"/>
    <n v="2733.99"/>
    <n v="0.4845360824742268"/>
  </r>
  <r>
    <x v="629"/>
    <x v="1"/>
    <x v="2"/>
    <x v="4"/>
    <n v="17682.071399999997"/>
    <n v="9506.49"/>
    <n v="8175.5813999999973"/>
    <n v="0.46236559139784938"/>
  </r>
  <r>
    <x v="629"/>
    <x v="4"/>
    <x v="0"/>
    <x v="2"/>
    <n v="1764.336"/>
    <n v="1486.8"/>
    <n v="277.53600000000006"/>
    <n v="0.15730337078651688"/>
  </r>
  <r>
    <x v="630"/>
    <x v="1"/>
    <x v="3"/>
    <x v="4"/>
    <n v="962817.51300000004"/>
    <n v="760889.22"/>
    <n v="201928.29300000006"/>
    <n v="0.20972644376899702"/>
  </r>
  <r>
    <x v="631"/>
    <x v="4"/>
    <x v="2"/>
    <x v="4"/>
    <n v="157106.25"/>
    <n v="122849.99999999999"/>
    <n v="34256.250000000015"/>
    <n v="0.21804511278195499"/>
  </r>
  <r>
    <x v="632"/>
    <x v="3"/>
    <x v="2"/>
    <x v="1"/>
    <n v="143486.53846153844"/>
    <n v="125663.99999999999"/>
    <n v="17822.538461538454"/>
    <n v="0.12421052631578944"/>
  </r>
  <r>
    <x v="633"/>
    <x v="3"/>
    <x v="4"/>
    <x v="4"/>
    <n v="150658.46249999999"/>
    <n v="122986.49999999999"/>
    <n v="27671.962500000009"/>
    <n v="0.18367346938775517"/>
  </r>
  <r>
    <x v="633"/>
    <x v="4"/>
    <x v="3"/>
    <x v="4"/>
    <n v="18305.056"/>
    <n v="9948.4"/>
    <n v="8356.6560000000009"/>
    <n v="0.45652173913043481"/>
  </r>
  <r>
    <x v="634"/>
    <x v="4"/>
    <x v="2"/>
    <x v="1"/>
    <n v="40022.163461538454"/>
    <n v="33978"/>
    <n v="6044.1634615384537"/>
    <n v="0.15102040816326515"/>
  </r>
  <r>
    <x v="634"/>
    <x v="0"/>
    <x v="0"/>
    <x v="4"/>
    <n v="280505.39999999997"/>
    <n v="239511.99999999997"/>
    <n v="40993.399999999994"/>
    <n v="0.14614121510673234"/>
  </r>
  <r>
    <x v="634"/>
    <x v="4"/>
    <x v="2"/>
    <x v="3"/>
    <n v="31913.699999999997"/>
    <n v="29224.999999999996"/>
    <n v="2688.7000000000007"/>
    <n v="8.4249084249084283E-2"/>
  </r>
  <r>
    <x v="635"/>
    <x v="4"/>
    <x v="0"/>
    <x v="4"/>
    <n v="5604.4337999999989"/>
    <n v="4213.8599999999997"/>
    <n v="1390.5737999999992"/>
    <n v="0.2481203007518796"/>
  </r>
  <r>
    <x v="635"/>
    <x v="0"/>
    <x v="0"/>
    <x v="4"/>
    <n v="82868.31"/>
    <n v="64799.28"/>
    <n v="18069.03"/>
    <n v="0.21804511278195488"/>
  </r>
  <r>
    <x v="636"/>
    <x v="1"/>
    <x v="3"/>
    <x v="1"/>
    <n v="17920.834615384614"/>
    <n v="16752.96"/>
    <n v="1167.874615384615"/>
    <n v="6.5168539325842684E-2"/>
  </r>
  <r>
    <x v="637"/>
    <x v="3"/>
    <x v="0"/>
    <x v="0"/>
    <n v="17354.667749999997"/>
    <n v="12308.275"/>
    <n v="5046.3927499999972"/>
    <n v="0.29078014184397155"/>
  </r>
  <r>
    <x v="637"/>
    <x v="0"/>
    <x v="1"/>
    <x v="1"/>
    <n v="126752.16346153844"/>
    <n v="124067.99999999999"/>
    <n v="2684.1634615384537"/>
    <n v="2.1176470588235238E-2"/>
  </r>
  <r>
    <x v="638"/>
    <x v="3"/>
    <x v="0"/>
    <x v="4"/>
    <n v="8256.08"/>
    <n v="4487"/>
    <n v="3769.08"/>
    <n v="0.45652173913043476"/>
  </r>
  <r>
    <x v="639"/>
    <x v="4"/>
    <x v="3"/>
    <x v="4"/>
    <n v="83513.149999999994"/>
    <n v="69706"/>
    <n v="13807.149999999994"/>
    <n v="0.16532905296950234"/>
  </r>
  <r>
    <x v="640"/>
    <x v="3"/>
    <x v="4"/>
    <x v="0"/>
    <n v="10186.469999999999"/>
    <n v="7148.4"/>
    <n v="3038.0699999999997"/>
    <n v="0.2982456140350877"/>
  </r>
  <r>
    <x v="641"/>
    <x v="1"/>
    <x v="4"/>
    <x v="4"/>
    <n v="153497.4"/>
    <n v="123941.99999999999"/>
    <n v="29555.400000000009"/>
    <n v="0.19254658385093174"/>
  </r>
  <r>
    <x v="641"/>
    <x v="3"/>
    <x v="2"/>
    <x v="3"/>
    <n v="98852.25"/>
    <n v="86712.5"/>
    <n v="12139.75"/>
    <n v="0.12280701754385964"/>
  </r>
  <r>
    <x v="642"/>
    <x v="1"/>
    <x v="0"/>
    <x v="3"/>
    <n v="109725"/>
    <n v="96250"/>
    <n v="13475"/>
    <n v="0.12280701754385964"/>
  </r>
  <r>
    <x v="642"/>
    <x v="4"/>
    <x v="3"/>
    <x v="3"/>
    <n v="124687.49999999999"/>
    <n v="109375"/>
    <n v="15312.499999999985"/>
    <n v="0.12280701754385955"/>
  </r>
  <r>
    <x v="643"/>
    <x v="3"/>
    <x v="3"/>
    <x v="0"/>
    <n v="3228.75"/>
    <n v="2152.5"/>
    <n v="1076.25"/>
    <n v="0.33333333333333331"/>
  </r>
  <r>
    <x v="644"/>
    <x v="0"/>
    <x v="2"/>
    <x v="1"/>
    <n v="189009.49038461538"/>
    <n v="160465.19999999998"/>
    <n v="28544.290384615393"/>
    <n v="0.15102040816326537"/>
  </r>
  <r>
    <x v="644"/>
    <x v="3"/>
    <x v="0"/>
    <x v="1"/>
    <n v="322502.84062499995"/>
    <n v="294859.74"/>
    <n v="27643.100624999963"/>
    <n v="8.5714285714285618E-2"/>
  </r>
  <r>
    <x v="645"/>
    <x v="0"/>
    <x v="2"/>
    <x v="2"/>
    <n v="13974.176579999999"/>
    <n v="11775.9915"/>
    <n v="2198.1850799999993"/>
    <n v="0.15730337078651682"/>
  </r>
  <r>
    <x v="646"/>
    <x v="2"/>
    <x v="2"/>
    <x v="1"/>
    <n v="64381.658653846149"/>
    <n v="60185.999999999993"/>
    <n v="4195.6586538461561"/>
    <n v="6.5168539325842739E-2"/>
  </r>
  <r>
    <x v="647"/>
    <x v="2"/>
    <x v="2"/>
    <x v="0"/>
    <n v="27442.799999999999"/>
    <n v="18295.199999999997"/>
    <n v="9147.6000000000022"/>
    <n v="0.33333333333333343"/>
  </r>
  <r>
    <x v="647"/>
    <x v="4"/>
    <x v="2"/>
    <x v="4"/>
    <n v="2171.0527999999999"/>
    <n v="1803.1999999999998"/>
    <n v="367.85280000000012"/>
    <n v="0.16943521594684391"/>
  </r>
  <r>
    <x v="648"/>
    <x v="4"/>
    <x v="4"/>
    <x v="2"/>
    <n v="31367.762999999999"/>
    <n v="27041.174999999999"/>
    <n v="4326.5879999999997"/>
    <n v="0.13793103448275862"/>
  </r>
  <r>
    <x v="649"/>
    <x v="0"/>
    <x v="3"/>
    <x v="3"/>
    <n v="81581.849999999991"/>
    <n v="76387.5"/>
    <n v="5194.3499999999913"/>
    <n v="6.3670411985018632E-2"/>
  </r>
  <r>
    <x v="649"/>
    <x v="2"/>
    <x v="4"/>
    <x v="2"/>
    <n v="18759.081599999998"/>
    <n v="14356.439999999999"/>
    <n v="4402.641599999999"/>
    <n v="0.23469387755102039"/>
  </r>
  <r>
    <x v="650"/>
    <x v="1"/>
    <x v="2"/>
    <x v="4"/>
    <n v="68767.775999999998"/>
    <n v="58050.720000000001"/>
    <n v="10717.055999999997"/>
    <n v="0.15584415584415581"/>
  </r>
  <r>
    <x v="651"/>
    <x v="1"/>
    <x v="4"/>
    <x v="0"/>
    <n v="8079.329999999999"/>
    <n v="5386.22"/>
    <n v="2693.1099999999988"/>
    <n v="0.3333333333333332"/>
  </r>
  <r>
    <x v="651"/>
    <x v="4"/>
    <x v="4"/>
    <x v="2"/>
    <n v="14665.14"/>
    <n v="10998.855"/>
    <n v="3666.2849999999999"/>
    <n v="0.25"/>
  </r>
  <r>
    <x v="652"/>
    <x v="3"/>
    <x v="3"/>
    <x v="1"/>
    <n v="149587.59375"/>
    <n v="131007.24"/>
    <n v="18580.353749999995"/>
    <n v="0.12421052631578944"/>
  </r>
  <r>
    <x v="653"/>
    <x v="3"/>
    <x v="2"/>
    <x v="4"/>
    <n v="212975.55999999997"/>
    <n v="166537.28"/>
    <n v="46438.27999999997"/>
    <n v="0.21804511278195476"/>
  </r>
  <r>
    <x v="653"/>
    <x v="4"/>
    <x v="4"/>
    <x v="3"/>
    <n v="177811.19999999998"/>
    <n v="151200"/>
    <n v="26611.199999999983"/>
    <n v="0.14965986394557815"/>
  </r>
  <r>
    <x v="654"/>
    <x v="0"/>
    <x v="2"/>
    <x v="0"/>
    <n v="12157.634999999998"/>
    <n v="8270.5"/>
    <n v="3887.1349999999984"/>
    <n v="0.3197278911564625"/>
  </r>
  <r>
    <x v="655"/>
    <x v="2"/>
    <x v="3"/>
    <x v="0"/>
    <n v="10239.074999999999"/>
    <n v="7584.4999999999991"/>
    <n v="2654.5749999999998"/>
    <n v="0.25925925925925924"/>
  </r>
  <r>
    <x v="655"/>
    <x v="4"/>
    <x v="1"/>
    <x v="3"/>
    <n v="22020.6"/>
    <n v="18725"/>
    <n v="3295.5999999999985"/>
    <n v="0.14965986394557818"/>
  </r>
  <r>
    <x v="655"/>
    <x v="2"/>
    <x v="2"/>
    <x v="3"/>
    <n v="306353.12400000001"/>
    <n v="290107.125"/>
    <n v="16245.999000000011"/>
    <n v="5.3030303030303066E-2"/>
  </r>
  <r>
    <x v="656"/>
    <x v="3"/>
    <x v="2"/>
    <x v="4"/>
    <n v="6328.7910000000002"/>
    <n v="4520.5649999999996"/>
    <n v="1808.2260000000006"/>
    <n v="0.28571428571428581"/>
  </r>
  <r>
    <x v="656"/>
    <x v="3"/>
    <x v="2"/>
    <x v="4"/>
    <n v="18506.949999999997"/>
    <n v="9740.5"/>
    <n v="8766.4499999999971"/>
    <n v="0.47368421052631571"/>
  </r>
  <r>
    <x v="656"/>
    <x v="3"/>
    <x v="2"/>
    <x v="4"/>
    <n v="705595.59"/>
    <n v="582396.36"/>
    <n v="123199.22999999998"/>
    <n v="0.17460317460317459"/>
  </r>
  <r>
    <x v="657"/>
    <x v="3"/>
    <x v="3"/>
    <x v="4"/>
    <n v="1528.2119999999998"/>
    <n v="1186.5"/>
    <n v="341.71199999999976"/>
    <n v="0.22360248447204956"/>
  </r>
  <r>
    <x v="657"/>
    <x v="0"/>
    <x v="4"/>
    <x v="2"/>
    <n v="5330.22"/>
    <n v="4079.2499999999995"/>
    <n v="1250.9700000000007"/>
    <n v="0.23469387755102053"/>
  </r>
  <r>
    <x v="658"/>
    <x v="4"/>
    <x v="4"/>
    <x v="2"/>
    <n v="6489"/>
    <n v="4866.75"/>
    <n v="1622.25"/>
    <n v="0.25"/>
  </r>
  <r>
    <x v="659"/>
    <x v="3"/>
    <x v="1"/>
    <x v="4"/>
    <n v="1326.675"/>
    <n v="997.49999999999989"/>
    <n v="329.17500000000007"/>
    <n v="0.24812030075187977"/>
  </r>
  <r>
    <x v="659"/>
    <x v="3"/>
    <x v="2"/>
    <x v="4"/>
    <n v="30724.293599999997"/>
    <n v="15675.659999999998"/>
    <n v="15048.633599999999"/>
    <n v="0.48979591836734698"/>
  </r>
  <r>
    <x v="660"/>
    <x v="2"/>
    <x v="4"/>
    <x v="4"/>
    <n v="926729.57649999997"/>
    <n v="756513.94"/>
    <n v="170215.63650000002"/>
    <n v="0.18367346938775514"/>
  </r>
  <r>
    <x v="661"/>
    <x v="3"/>
    <x v="0"/>
    <x v="1"/>
    <n v="41290.745192307688"/>
    <n v="36162"/>
    <n v="5128.7451923076878"/>
    <n v="0.12421052631578938"/>
  </r>
  <r>
    <x v="662"/>
    <x v="0"/>
    <x v="1"/>
    <x v="4"/>
    <n v="11264.302"/>
    <n v="5928.579999999999"/>
    <n v="5335.7220000000007"/>
    <n v="0.47368421052631587"/>
  </r>
  <r>
    <x v="662"/>
    <x v="0"/>
    <x v="4"/>
    <x v="3"/>
    <n v="24290.699999999997"/>
    <n v="23537.5"/>
    <n v="753.19999999999709"/>
    <n v="3.1007751937984381E-2"/>
  </r>
  <r>
    <x v="663"/>
    <x v="2"/>
    <x v="1"/>
    <x v="1"/>
    <n v="301554.95192307688"/>
    <n v="196105"/>
    <n v="105449.95192307688"/>
    <n v="0.3496873496873496"/>
  </r>
  <r>
    <x v="663"/>
    <x v="0"/>
    <x v="1"/>
    <x v="4"/>
    <n v="24200.546999999999"/>
    <n v="12737.130000000001"/>
    <n v="11463.416999999998"/>
    <n v="0.47368421052631571"/>
  </r>
  <r>
    <x v="663"/>
    <x v="1"/>
    <x v="2"/>
    <x v="4"/>
    <n v="18940.389930000001"/>
    <n v="15200.955"/>
    <n v="3739.4349300000013"/>
    <n v="0.19743178170144468"/>
  </r>
  <r>
    <x v="664"/>
    <x v="4"/>
    <x v="1"/>
    <x v="2"/>
    <n v="3363.36"/>
    <n v="2772"/>
    <n v="591.36000000000013"/>
    <n v="0.17582417582417587"/>
  </r>
  <r>
    <x v="665"/>
    <x v="4"/>
    <x v="1"/>
    <x v="4"/>
    <n v="38047.274999999994"/>
    <n v="32486.999999999996"/>
    <n v="5560.2749999999978"/>
    <n v="0.14614121510673231"/>
  </r>
  <r>
    <x v="665"/>
    <x v="0"/>
    <x v="4"/>
    <x v="4"/>
    <n v="42212.404499999997"/>
    <n v="22217.055"/>
    <n v="19995.349499999997"/>
    <n v="0.47368421052631576"/>
  </r>
  <r>
    <x v="666"/>
    <x v="4"/>
    <x v="4"/>
    <x v="0"/>
    <n v="3434.1299999999997"/>
    <n v="2488.5"/>
    <n v="945.62999999999965"/>
    <n v="0.27536231884057966"/>
  </r>
  <r>
    <x v="666"/>
    <x v="0"/>
    <x v="3"/>
    <x v="0"/>
    <n v="4120.2"/>
    <n v="2861.25"/>
    <n v="1258.9499999999998"/>
    <n v="0.30555555555555552"/>
  </r>
  <r>
    <x v="666"/>
    <x v="1"/>
    <x v="0"/>
    <x v="4"/>
    <n v="3638.7890000000002"/>
    <n v="3022.25"/>
    <n v="616.53900000000021"/>
    <n v="0.16943521594684391"/>
  </r>
  <r>
    <x v="666"/>
    <x v="2"/>
    <x v="2"/>
    <x v="4"/>
    <n v="1743.35"/>
    <n v="1025.5"/>
    <n v="717.84999999999991"/>
    <n v="0.41176470588235292"/>
  </r>
  <r>
    <x v="666"/>
    <x v="1"/>
    <x v="4"/>
    <x v="4"/>
    <n v="166241.81"/>
    <n v="145286.96"/>
    <n v="20954.850000000006"/>
    <n v="0.12605042016806725"/>
  </r>
  <r>
    <x v="667"/>
    <x v="4"/>
    <x v="4"/>
    <x v="4"/>
    <n v="18640.16"/>
    <n v="10472"/>
    <n v="8168.16"/>
    <n v="0.43820224719101125"/>
  </r>
  <r>
    <x v="667"/>
    <x v="0"/>
    <x v="0"/>
    <x v="4"/>
    <n v="5149.7249999999995"/>
    <n v="3029.25"/>
    <n v="2120.4749999999995"/>
    <n v="0.41176470588235287"/>
  </r>
  <r>
    <x v="668"/>
    <x v="3"/>
    <x v="2"/>
    <x v="0"/>
    <n v="4971.3047999999999"/>
    <n v="3452.2950000000001"/>
    <n v="1519.0097999999998"/>
    <n v="0.30555555555555552"/>
  </r>
  <r>
    <x v="668"/>
    <x v="0"/>
    <x v="3"/>
    <x v="4"/>
    <n v="247235.62499999997"/>
    <n v="183660.75"/>
    <n v="63574.874999999971"/>
    <n v="0.25714285714285706"/>
  </r>
  <r>
    <x v="668"/>
    <x v="3"/>
    <x v="4"/>
    <x v="3"/>
    <n v="970136.05500000005"/>
    <n v="898274.125"/>
    <n v="71861.930000000051"/>
    <n v="7.4074074074074125E-2"/>
  </r>
  <r>
    <x v="669"/>
    <x v="2"/>
    <x v="2"/>
    <x v="0"/>
    <n v="18258.581249999999"/>
    <n v="13991.25"/>
    <n v="4267.3312499999993"/>
    <n v="0.23371647509578541"/>
  </r>
  <r>
    <x v="669"/>
    <x v="1"/>
    <x v="4"/>
    <x v="1"/>
    <n v="248171.53846153841"/>
    <n v="215082"/>
    <n v="33089.53846153841"/>
    <n v="0.13333333333333316"/>
  </r>
  <r>
    <x v="669"/>
    <x v="0"/>
    <x v="1"/>
    <x v="4"/>
    <n v="229443.11249999999"/>
    <n v="191509.5"/>
    <n v="37933.612499999988"/>
    <n v="0.16532905296950237"/>
  </r>
  <r>
    <x v="669"/>
    <x v="2"/>
    <x v="2"/>
    <x v="4"/>
    <n v="259405.111875"/>
    <n v="202843.095"/>
    <n v="56562.016875000001"/>
    <n v="0.2180451127819549"/>
  </r>
  <r>
    <x v="670"/>
    <x v="2"/>
    <x v="2"/>
    <x v="0"/>
    <n v="1668.3975"/>
    <n v="1123.5"/>
    <n v="544.89750000000004"/>
    <n v="0.32659932659932661"/>
  </r>
  <r>
    <x v="670"/>
    <x v="2"/>
    <x v="3"/>
    <x v="0"/>
    <n v="6532.0919999999996"/>
    <n v="4733.3999999999996"/>
    <n v="1798.692"/>
    <n v="0.27536231884057971"/>
  </r>
  <r>
    <x v="671"/>
    <x v="0"/>
    <x v="3"/>
    <x v="0"/>
    <n v="6161.7150000000001"/>
    <n v="4417"/>
    <n v="1744.7150000000001"/>
    <n v="0.28315412186379929"/>
  </r>
  <r>
    <x v="671"/>
    <x v="1"/>
    <x v="3"/>
    <x v="4"/>
    <n v="5543.0943749999997"/>
    <n v="4658.0625"/>
    <n v="885.03187499999967"/>
    <n v="0.15966386554621845"/>
  </r>
  <r>
    <x v="672"/>
    <x v="1"/>
    <x v="2"/>
    <x v="0"/>
    <n v="10078.5825"/>
    <n v="7549.4999999999991"/>
    <n v="2529.0825000000013"/>
    <n v="0.25093632958801509"/>
  </r>
  <r>
    <x v="672"/>
    <x v="2"/>
    <x v="4"/>
    <x v="4"/>
    <n v="10500.349999999999"/>
    <n v="5526.5"/>
    <n v="4973.8499999999985"/>
    <n v="0.47368421052631571"/>
  </r>
  <r>
    <x v="672"/>
    <x v="1"/>
    <x v="1"/>
    <x v="4"/>
    <n v="15525.58"/>
    <n v="9026.5"/>
    <n v="6499.08"/>
    <n v="0.41860465116279072"/>
  </r>
  <r>
    <x v="673"/>
    <x v="2"/>
    <x v="3"/>
    <x v="3"/>
    <n v="187979.77799999996"/>
    <n v="159846.75"/>
    <n v="28133.027999999962"/>
    <n v="0.14965986394557806"/>
  </r>
  <r>
    <x v="673"/>
    <x v="4"/>
    <x v="2"/>
    <x v="2"/>
    <n v="25753.587300000003"/>
    <n v="19912.567500000001"/>
    <n v="5841.0198000000019"/>
    <n v="0.22680412371134026"/>
  </r>
  <r>
    <x v="674"/>
    <x v="0"/>
    <x v="0"/>
    <x v="4"/>
    <n v="5467.2974999999997"/>
    <n v="4110.75"/>
    <n v="1356.5474999999997"/>
    <n v="0.24812030075187966"/>
  </r>
  <r>
    <x v="675"/>
    <x v="0"/>
    <x v="2"/>
    <x v="4"/>
    <n v="2586.0974999999999"/>
    <n v="1986.2499999999998"/>
    <n v="599.84750000000008"/>
    <n v="0.23195084485407069"/>
  </r>
  <r>
    <x v="676"/>
    <x v="2"/>
    <x v="0"/>
    <x v="3"/>
    <n v="101915.352"/>
    <n v="96510.75"/>
    <n v="5404.601999999999"/>
    <n v="5.3030303030303018E-2"/>
  </r>
  <r>
    <x v="677"/>
    <x v="3"/>
    <x v="0"/>
    <x v="0"/>
    <n v="5690.0549999999994"/>
    <n v="4035.4999999999995"/>
    <n v="1654.5549999999998"/>
    <n v="0.29078014184397161"/>
  </r>
  <r>
    <x v="677"/>
    <x v="1"/>
    <x v="2"/>
    <x v="4"/>
    <n v="95510.799999999988"/>
    <n v="80626"/>
    <n v="14884.799999999988"/>
    <n v="0.15584415584415573"/>
  </r>
  <r>
    <x v="678"/>
    <x v="4"/>
    <x v="4"/>
    <x v="4"/>
    <n v="1340089.338"/>
    <n v="1015811.1599999999"/>
    <n v="324278.17800000007"/>
    <n v="0.2419825072886298"/>
  </r>
  <r>
    <x v="679"/>
    <x v="1"/>
    <x v="1"/>
    <x v="4"/>
    <n v="153497.4"/>
    <n v="123941.99999999999"/>
    <n v="29555.400000000009"/>
    <n v="0.19254658385093174"/>
  </r>
  <r>
    <x v="680"/>
    <x v="3"/>
    <x v="1"/>
    <x v="0"/>
    <n v="5690.0549999999994"/>
    <n v="4035.4999999999995"/>
    <n v="1654.5549999999998"/>
    <n v="0.29078014184397161"/>
  </r>
  <r>
    <x v="680"/>
    <x v="1"/>
    <x v="3"/>
    <x v="1"/>
    <n v="83325.25384615385"/>
    <n v="78780.239999999991"/>
    <n v="4545.013846153859"/>
    <n v="5.4545454545454695E-2"/>
  </r>
  <r>
    <x v="680"/>
    <x v="2"/>
    <x v="4"/>
    <x v="4"/>
    <n v="134953.35"/>
    <n v="116570.99999999999"/>
    <n v="18382.35000000002"/>
    <n v="0.13621262458471775"/>
  </r>
  <r>
    <x v="681"/>
    <x v="1"/>
    <x v="0"/>
    <x v="0"/>
    <n v="7630.5599999999986"/>
    <n v="5299"/>
    <n v="2331.5599999999986"/>
    <n v="0.30555555555555541"/>
  </r>
  <r>
    <x v="682"/>
    <x v="3"/>
    <x v="2"/>
    <x v="4"/>
    <n v="8149.0184999999992"/>
    <n v="5820.7275"/>
    <n v="2328.2909999999993"/>
    <n v="0.28571428571428564"/>
  </r>
  <r>
    <x v="683"/>
    <x v="0"/>
    <x v="0"/>
    <x v="1"/>
    <n v="282331.62764423073"/>
    <n v="242164.86"/>
    <n v="40166.767644230742"/>
    <n v="0.14226804123711331"/>
  </r>
  <r>
    <x v="683"/>
    <x v="0"/>
    <x v="2"/>
    <x v="3"/>
    <n v="206144.4"/>
    <n v="186725"/>
    <n v="19419.399999999994"/>
    <n v="9.4202898550724612E-2"/>
  </r>
  <r>
    <x v="683"/>
    <x v="0"/>
    <x v="1"/>
    <x v="2"/>
    <n v="13307.489999999998"/>
    <n v="11089.574999999999"/>
    <n v="2217.9149999999991"/>
    <n v="0.16666666666666663"/>
  </r>
  <r>
    <x v="684"/>
    <x v="1"/>
    <x v="3"/>
    <x v="1"/>
    <n v="210455.27091346154"/>
    <n v="176867.46"/>
    <n v="33587.810913461552"/>
    <n v="0.15959595959595965"/>
  </r>
  <r>
    <x v="684"/>
    <x v="1"/>
    <x v="2"/>
    <x v="4"/>
    <n v="468817.03049999994"/>
    <n v="382707.77999999997"/>
    <n v="86109.250499999966"/>
    <n v="0.18367346938775506"/>
  </r>
  <r>
    <x v="684"/>
    <x v="0"/>
    <x v="3"/>
    <x v="4"/>
    <n v="813.04965000000004"/>
    <n v="683.23500000000001"/>
    <n v="129.81465000000003"/>
    <n v="0.1596638655462185"/>
  </r>
  <r>
    <x v="684"/>
    <x v="0"/>
    <x v="2"/>
    <x v="3"/>
    <n v="127652.7"/>
    <n v="119524.99999999999"/>
    <n v="8127.7000000000116"/>
    <n v="6.3670411985018813E-2"/>
  </r>
  <r>
    <x v="685"/>
    <x v="1"/>
    <x v="2"/>
    <x v="4"/>
    <n v="3964.5899999999997"/>
    <n v="2131.5"/>
    <n v="1833.0899999999997"/>
    <n v="0.46236559139784944"/>
  </r>
  <r>
    <x v="685"/>
    <x v="3"/>
    <x v="0"/>
    <x v="4"/>
    <n v="18771.486999999997"/>
    <n v="9879.73"/>
    <n v="8891.7569999999978"/>
    <n v="0.47368421052631576"/>
  </r>
  <r>
    <x v="685"/>
    <x v="0"/>
    <x v="2"/>
    <x v="3"/>
    <n v="1188898.074"/>
    <n v="1088734.5"/>
    <n v="100163.57400000002"/>
    <n v="8.4249084249084269E-2"/>
  </r>
  <r>
    <x v="686"/>
    <x v="4"/>
    <x v="0"/>
    <x v="0"/>
    <n v="3406.4414999999999"/>
    <n v="2610.2999999999997"/>
    <n v="796.14150000000018"/>
    <n v="0.2337164750957855"/>
  </r>
  <r>
    <x v="686"/>
    <x v="0"/>
    <x v="2"/>
    <x v="4"/>
    <n v="234667.12499999997"/>
    <n v="202702.5"/>
    <n v="31964.624999999971"/>
    <n v="0.1362126245847175"/>
  </r>
  <r>
    <x v="686"/>
    <x v="4"/>
    <x v="4"/>
    <x v="3"/>
    <n v="262687.95"/>
    <n v="245962.49999999997"/>
    <n v="16725.450000000041"/>
    <n v="6.3670411985018882E-2"/>
  </r>
  <r>
    <x v="687"/>
    <x v="3"/>
    <x v="3"/>
    <x v="4"/>
    <n v="200621.92499999999"/>
    <n v="160251"/>
    <n v="40370.924999999988"/>
    <n v="0.20122887864823344"/>
  </r>
  <r>
    <x v="687"/>
    <x v="1"/>
    <x v="4"/>
    <x v="2"/>
    <n v="1402.674"/>
    <n v="1156.05"/>
    <n v="246.62400000000002"/>
    <n v="0.17582417582417584"/>
  </r>
  <r>
    <x v="688"/>
    <x v="2"/>
    <x v="3"/>
    <x v="0"/>
    <n v="42599.235000000001"/>
    <n v="29894.199999999997"/>
    <n v="12705.035000000003"/>
    <n v="0.29824561403508781"/>
  </r>
  <r>
    <x v="688"/>
    <x v="2"/>
    <x v="1"/>
    <x v="0"/>
    <n v="36655.888500000001"/>
    <n v="27152.510000000002"/>
    <n v="9503.3784999999989"/>
    <n v="0.25925925925925924"/>
  </r>
  <r>
    <x v="689"/>
    <x v="2"/>
    <x v="4"/>
    <x v="4"/>
    <n v="3231.1089999999999"/>
    <n v="2455.25"/>
    <n v="775.85899999999992"/>
    <n v="0.24012158054711244"/>
  </r>
  <r>
    <x v="690"/>
    <x v="0"/>
    <x v="3"/>
    <x v="4"/>
    <n v="17781.12"/>
    <n v="9261"/>
    <n v="8520.119999999999"/>
    <n v="0.47916666666666663"/>
  </r>
  <r>
    <x v="691"/>
    <x v="2"/>
    <x v="3"/>
    <x v="4"/>
    <n v="13667.471999999998"/>
    <n v="7509.5999999999995"/>
    <n v="6157.8719999999985"/>
    <n v="0.4505494505494505"/>
  </r>
  <r>
    <x v="692"/>
    <x v="1"/>
    <x v="3"/>
    <x v="4"/>
    <n v="15652.559999999998"/>
    <n v="12705"/>
    <n v="2947.5599999999977"/>
    <n v="0.18831168831168818"/>
  </r>
  <r>
    <x v="693"/>
    <x v="4"/>
    <x v="0"/>
    <x v="0"/>
    <n v="4835.25"/>
    <n v="3223.5"/>
    <n v="1611.75"/>
    <n v="0.33333333333333331"/>
  </r>
  <r>
    <x v="693"/>
    <x v="1"/>
    <x v="1"/>
    <x v="1"/>
    <n v="258798.09374999997"/>
    <n v="236615.4"/>
    <n v="22182.693749999977"/>
    <n v="8.5714285714285632E-2"/>
  </r>
  <r>
    <x v="693"/>
    <x v="0"/>
    <x v="2"/>
    <x v="4"/>
    <n v="1280510.9239999999"/>
    <n v="970649.68"/>
    <n v="309861.24399999983"/>
    <n v="0.24198250728862963"/>
  </r>
  <r>
    <x v="693"/>
    <x v="2"/>
    <x v="2"/>
    <x v="2"/>
    <n v="30982.487759999996"/>
    <n v="26108.838"/>
    <n v="4873.6497599999966"/>
    <n v="0.15730337078651677"/>
  </r>
  <r>
    <x v="694"/>
    <x v="1"/>
    <x v="2"/>
    <x v="0"/>
    <n v="37996.256025000002"/>
    <n v="28461.615000000002"/>
    <n v="9534.6410250000008"/>
    <n v="0.25093632958801498"/>
  </r>
  <r>
    <x v="694"/>
    <x v="2"/>
    <x v="2"/>
    <x v="4"/>
    <n v="2536.4850000000001"/>
    <n v="2082.5"/>
    <n v="453.98500000000013"/>
    <n v="0.17898193760262729"/>
  </r>
  <r>
    <x v="695"/>
    <x v="4"/>
    <x v="1"/>
    <x v="0"/>
    <n v="9904.9124999999985"/>
    <n v="6807.5"/>
    <n v="3097.4124999999985"/>
    <n v="0.31271477663230229"/>
  </r>
  <r>
    <x v="695"/>
    <x v="4"/>
    <x v="2"/>
    <x v="1"/>
    <n v="364219.51730769232"/>
    <n v="312402.72000000003"/>
    <n v="51816.797307692294"/>
    <n v="0.14226804123711337"/>
  </r>
  <r>
    <x v="695"/>
    <x v="3"/>
    <x v="0"/>
    <x v="4"/>
    <n v="1588.6499999999999"/>
    <n v="934.49999999999989"/>
    <n v="654.15"/>
    <n v="0.41176470588235298"/>
  </r>
  <r>
    <x v="695"/>
    <x v="3"/>
    <x v="2"/>
    <x v="3"/>
    <n v="229452.3"/>
    <n v="222337.5"/>
    <n v="7114.7999999999884"/>
    <n v="3.1007751937984447E-2"/>
  </r>
  <r>
    <x v="696"/>
    <x v="1"/>
    <x v="0"/>
    <x v="0"/>
    <n v="11550.419999999998"/>
    <n v="7700.2799999999988"/>
    <n v="3850.1399999999994"/>
    <n v="0.33333333333333331"/>
  </r>
  <r>
    <x v="697"/>
    <x v="1"/>
    <x v="3"/>
    <x v="3"/>
    <n v="82675.592999999993"/>
    <n v="69592.25"/>
    <n v="13083.342999999993"/>
    <n v="0.15824915824915819"/>
  </r>
  <r>
    <x v="698"/>
    <x v="2"/>
    <x v="3"/>
    <x v="0"/>
    <n v="13067.25"/>
    <n v="9170"/>
    <n v="3897.25"/>
    <n v="0.2982456140350877"/>
  </r>
  <r>
    <x v="698"/>
    <x v="0"/>
    <x v="0"/>
    <x v="0"/>
    <n v="7869.6449999999995"/>
    <n v="6100.5"/>
    <n v="1769.1449999999995"/>
    <n v="0.22480620155038755"/>
  </r>
  <r>
    <x v="698"/>
    <x v="0"/>
    <x v="3"/>
    <x v="0"/>
    <n v="28378.105875000001"/>
    <n v="21745.674999999999"/>
    <n v="6632.4308750000018"/>
    <n v="0.2337164750957855"/>
  </r>
  <r>
    <x v="698"/>
    <x v="3"/>
    <x v="3"/>
    <x v="4"/>
    <n v="18832.8"/>
    <n v="9912"/>
    <n v="8920.7999999999993"/>
    <n v="0.47368421052631576"/>
  </r>
  <r>
    <x v="698"/>
    <x v="2"/>
    <x v="2"/>
    <x v="3"/>
    <n v="325851.21449999994"/>
    <n v="291981.375"/>
    <n v="33869.839499999944"/>
    <n v="0.10394265232974895"/>
  </r>
  <r>
    <x v="699"/>
    <x v="0"/>
    <x v="2"/>
    <x v="2"/>
    <n v="7240.5059999999994"/>
    <n v="6101.5499999999993"/>
    <n v="1138.9560000000001"/>
    <n v="0.15730337078651688"/>
  </r>
  <r>
    <x v="700"/>
    <x v="0"/>
    <x v="2"/>
    <x v="4"/>
    <n v="98368.724999999991"/>
    <n v="83993"/>
    <n v="14375.724999999991"/>
    <n v="0.14614121510673228"/>
  </r>
  <r>
    <x v="701"/>
    <x v="0"/>
    <x v="3"/>
    <x v="4"/>
    <n v="209092.8"/>
    <n v="161798"/>
    <n v="47294.799999999988"/>
    <n v="0.22619047619047614"/>
  </r>
  <r>
    <x v="701"/>
    <x v="1"/>
    <x v="3"/>
    <x v="4"/>
    <n v="105359.75099999999"/>
    <n v="80687.88"/>
    <n v="24671.870999999985"/>
    <n v="0.23416789396170828"/>
  </r>
  <r>
    <x v="702"/>
    <x v="3"/>
    <x v="0"/>
    <x v="1"/>
    <n v="128487.18749999999"/>
    <n v="117473.99999999999"/>
    <n v="11013.1875"/>
    <n v="8.5714285714285729E-2"/>
  </r>
  <r>
    <x v="702"/>
    <x v="2"/>
    <x v="1"/>
    <x v="3"/>
    <n v="120512.7"/>
    <n v="106837.5"/>
    <n v="13675.199999999997"/>
    <n v="0.11347517730496452"/>
  </r>
  <r>
    <x v="703"/>
    <x v="4"/>
    <x v="0"/>
    <x v="4"/>
    <n v="448999.005"/>
    <n v="340349.1"/>
    <n v="108649.90500000003"/>
    <n v="0.2419825072886298"/>
  </r>
  <r>
    <x v="703"/>
    <x v="1"/>
    <x v="1"/>
    <x v="4"/>
    <n v="21689.467799999999"/>
    <n v="11917.289999999999"/>
    <n v="9772.1777999999995"/>
    <n v="0.45054945054945056"/>
  </r>
  <r>
    <x v="704"/>
    <x v="4"/>
    <x v="3"/>
    <x v="4"/>
    <n v="9788.7999999999993"/>
    <n v="5320"/>
    <n v="4468.7999999999993"/>
    <n v="0.45652173913043476"/>
  </r>
  <r>
    <x v="705"/>
    <x v="4"/>
    <x v="2"/>
    <x v="4"/>
    <n v="2837.7860000000001"/>
    <n v="2203.25"/>
    <n v="634.53600000000006"/>
    <n v="0.2236024844720497"/>
  </r>
  <r>
    <x v="705"/>
    <x v="2"/>
    <x v="2"/>
    <x v="4"/>
    <n v="8034.0365700000002"/>
    <n v="6170.5350000000008"/>
    <n v="1863.5015699999994"/>
    <n v="0.23195084485407058"/>
  </r>
  <r>
    <x v="706"/>
    <x v="1"/>
    <x v="0"/>
    <x v="0"/>
    <n v="1170.4875"/>
    <n v="857.5"/>
    <n v="312.98749999999995"/>
    <n v="0.26739926739926739"/>
  </r>
  <r>
    <x v="706"/>
    <x v="1"/>
    <x v="0"/>
    <x v="2"/>
    <n v="4461.7439999999997"/>
    <n v="3414.6"/>
    <n v="1047.1439999999998"/>
    <n v="0.23469387755102036"/>
  </r>
  <r>
    <x v="707"/>
    <x v="3"/>
    <x v="3"/>
    <x v="0"/>
    <n v="55656.680624999994"/>
    <n v="40774.125"/>
    <n v="14882.555624999994"/>
    <n v="0.26739926739926734"/>
  </r>
  <r>
    <x v="707"/>
    <x v="1"/>
    <x v="0"/>
    <x v="3"/>
    <n v="268244.55"/>
    <n v="240362.49999999997"/>
    <n v="27882.050000000017"/>
    <n v="0.10394265232974917"/>
  </r>
  <r>
    <x v="707"/>
    <x v="2"/>
    <x v="2"/>
    <x v="2"/>
    <n v="8939.6999999999989"/>
    <n v="7796.2499999999991"/>
    <n v="1143.4499999999998"/>
    <n v="0.12790697674418605"/>
  </r>
  <r>
    <x v="708"/>
    <x v="1"/>
    <x v="4"/>
    <x v="4"/>
    <n v="112847"/>
    <n v="89180"/>
    <n v="23667"/>
    <n v="0.20972644376899696"/>
  </r>
  <r>
    <x v="709"/>
    <x v="0"/>
    <x v="0"/>
    <x v="4"/>
    <n v="14914.619999999997"/>
    <n v="8379"/>
    <n v="6535.6199999999972"/>
    <n v="0.43820224719101114"/>
  </r>
  <r>
    <x v="709"/>
    <x v="2"/>
    <x v="4"/>
    <x v="4"/>
    <n v="7376.753999999999"/>
    <n v="5987.625"/>
    <n v="1389.128999999999"/>
    <n v="0.18831168831168821"/>
  </r>
  <r>
    <x v="709"/>
    <x v="3"/>
    <x v="4"/>
    <x v="3"/>
    <n v="281817.89999999997"/>
    <n v="260942.49999999997"/>
    <n v="20875.399999999994"/>
    <n v="7.4074074074074056E-2"/>
  </r>
  <r>
    <x v="710"/>
    <x v="2"/>
    <x v="4"/>
    <x v="0"/>
    <n v="9790.1999999999989"/>
    <n v="7251.9999999999991"/>
    <n v="2538.1999999999998"/>
    <n v="0.25925925925925924"/>
  </r>
  <r>
    <x v="711"/>
    <x v="2"/>
    <x v="4"/>
    <x v="4"/>
    <n v="185717.34999999998"/>
    <n v="151606"/>
    <n v="34111.349999999977"/>
    <n v="0.183673469387755"/>
  </r>
  <r>
    <x v="712"/>
    <x v="1"/>
    <x v="4"/>
    <x v="2"/>
    <n v="2086.4339999999997"/>
    <n v="1798.6499999999999"/>
    <n v="287.78399999999988"/>
    <n v="0.13793103448275859"/>
  </r>
  <r>
    <x v="713"/>
    <x v="4"/>
    <x v="4"/>
    <x v="0"/>
    <n v="6831.1949999999997"/>
    <n v="5295.5"/>
    <n v="1535.6949999999997"/>
    <n v="0.22480620155038755"/>
  </r>
  <r>
    <x v="714"/>
    <x v="2"/>
    <x v="0"/>
    <x v="4"/>
    <n v="35346.326400000005"/>
    <n v="17851.68"/>
    <n v="17494.646400000005"/>
    <n v="0.49494949494949503"/>
  </r>
  <r>
    <x v="714"/>
    <x v="1"/>
    <x v="2"/>
    <x v="2"/>
    <n v="2839.6619999999998"/>
    <n v="2290.0499999999997"/>
    <n v="549.61200000000008"/>
    <n v="0.19354838709677424"/>
  </r>
  <r>
    <x v="715"/>
    <x v="4"/>
    <x v="3"/>
    <x v="4"/>
    <n v="241854.19999999998"/>
    <n v="195286"/>
    <n v="46568.199999999983"/>
    <n v="0.19254658385093162"/>
  </r>
  <r>
    <x v="715"/>
    <x v="1"/>
    <x v="1"/>
    <x v="4"/>
    <n v="10564.4"/>
    <n v="6002.5"/>
    <n v="4561.8999999999996"/>
    <n v="0.43181818181818182"/>
  </r>
  <r>
    <x v="716"/>
    <x v="0"/>
    <x v="2"/>
    <x v="4"/>
    <n v="271526.14999999997"/>
    <n v="212321.19999999998"/>
    <n v="59204.949999999983"/>
    <n v="0.21804511278195485"/>
  </r>
  <r>
    <x v="717"/>
    <x v="0"/>
    <x v="4"/>
    <x v="1"/>
    <n v="195763.04495192308"/>
    <n v="167912.22"/>
    <n v="27850.824951923074"/>
    <n v="0.1422680412371134"/>
  </r>
  <r>
    <x v="717"/>
    <x v="1"/>
    <x v="2"/>
    <x v="4"/>
    <n v="5156.4366"/>
    <n v="4333.1399999999994"/>
    <n v="823.29660000000058"/>
    <n v="0.15966386554621859"/>
  </r>
  <r>
    <x v="718"/>
    <x v="1"/>
    <x v="3"/>
    <x v="1"/>
    <n v="52047.692307692305"/>
    <n v="45108"/>
    <n v="6939.6923076923049"/>
    <n v="0.13333333333333328"/>
  </r>
  <r>
    <x v="718"/>
    <x v="2"/>
    <x v="2"/>
    <x v="4"/>
    <n v="2536.4850000000001"/>
    <n v="2082.5"/>
    <n v="453.98500000000013"/>
    <n v="0.17898193760262729"/>
  </r>
  <r>
    <x v="719"/>
    <x v="1"/>
    <x v="0"/>
    <x v="4"/>
    <n v="12845.699999999999"/>
    <n v="7136.5"/>
    <n v="5709.1999999999989"/>
    <n v="0.44444444444444442"/>
  </r>
  <r>
    <x v="719"/>
    <x v="1"/>
    <x v="4"/>
    <x v="4"/>
    <n v="204253.07"/>
    <n v="161415.79999999999"/>
    <n v="42837.270000000019"/>
    <n v="0.20972644376899705"/>
  </r>
  <r>
    <x v="720"/>
    <x v="4"/>
    <x v="3"/>
    <x v="4"/>
    <n v="15275.05"/>
    <n v="8039.4999999999991"/>
    <n v="7235.55"/>
    <n v="0.47368421052631582"/>
  </r>
  <r>
    <x v="720"/>
    <x v="1"/>
    <x v="1"/>
    <x v="4"/>
    <n v="35918.959999999999"/>
    <n v="20408.5"/>
    <n v="15510.46"/>
    <n v="0.43181818181818182"/>
  </r>
  <r>
    <x v="721"/>
    <x v="1"/>
    <x v="3"/>
    <x v="1"/>
    <n v="15492.548076923076"/>
    <n v="14322"/>
    <n v="1170.5480769230762"/>
    <n v="7.5555555555555515E-2"/>
  </r>
  <r>
    <x v="722"/>
    <x v="4"/>
    <x v="1"/>
    <x v="0"/>
    <n v="35558.635875"/>
    <n v="24438.924999999999"/>
    <n v="11119.710875000001"/>
    <n v="0.3127147766323024"/>
  </r>
  <r>
    <x v="722"/>
    <x v="1"/>
    <x v="0"/>
    <x v="1"/>
    <n v="139527.55384615384"/>
    <n v="120923.87999999999"/>
    <n v="18603.673846153848"/>
    <n v="0.13333333333333336"/>
  </r>
  <r>
    <x v="722"/>
    <x v="1"/>
    <x v="1"/>
    <x v="4"/>
    <n v="3395.9743999999996"/>
    <n v="1732.64"/>
    <n v="1663.3343999999995"/>
    <n v="0.48979591836734687"/>
  </r>
  <r>
    <x v="722"/>
    <x v="0"/>
    <x v="4"/>
    <x v="4"/>
    <n v="3310.2048"/>
    <n v="2542.3999999999996"/>
    <n v="767.80480000000034"/>
    <n v="0.23195084485407078"/>
  </r>
  <r>
    <x v="723"/>
    <x v="3"/>
    <x v="4"/>
    <x v="2"/>
    <n v="15051.876840000001"/>
    <n v="11402.937"/>
    <n v="3648.9398400000009"/>
    <n v="0.24242424242424246"/>
  </r>
  <r>
    <x v="724"/>
    <x v="3"/>
    <x v="0"/>
    <x v="4"/>
    <n v="422.58089999999999"/>
    <n v="339.15"/>
    <n v="83.430900000000008"/>
    <n v="0.19743178170144465"/>
  </r>
  <r>
    <x v="724"/>
    <x v="3"/>
    <x v="3"/>
    <x v="4"/>
    <n v="242927.05499999999"/>
    <n v="207425.4"/>
    <n v="35501.654999999999"/>
    <n v="0.14614121510673234"/>
  </r>
  <r>
    <x v="725"/>
    <x v="2"/>
    <x v="2"/>
    <x v="1"/>
    <n v="39331.081730769227"/>
    <n v="33054"/>
    <n v="6277.0817307692269"/>
    <n v="0.15959595959595951"/>
  </r>
  <r>
    <x v="725"/>
    <x v="0"/>
    <x v="4"/>
    <x v="1"/>
    <n v="392635.66730769229"/>
    <n v="336776.16"/>
    <n v="55859.507307692314"/>
    <n v="0.14226804123711342"/>
  </r>
  <r>
    <x v="725"/>
    <x v="3"/>
    <x v="0"/>
    <x v="3"/>
    <n v="178391.84999999998"/>
    <n v="163362.5"/>
    <n v="15029.349999999977"/>
    <n v="8.424908424908413E-2"/>
  </r>
  <r>
    <x v="726"/>
    <x v="2"/>
    <x v="2"/>
    <x v="4"/>
    <n v="36532.9496"/>
    <n v="19432.420000000002"/>
    <n v="17100.529599999998"/>
    <n v="0.46808510638297868"/>
  </r>
  <r>
    <x v="727"/>
    <x v="3"/>
    <x v="1"/>
    <x v="4"/>
    <n v="8256.08"/>
    <n v="4487"/>
    <n v="3769.08"/>
    <n v="0.45652173913043476"/>
  </r>
  <r>
    <x v="728"/>
    <x v="3"/>
    <x v="1"/>
    <x v="4"/>
    <n v="3066.16275"/>
    <n v="2517.375"/>
    <n v="548.78774999999996"/>
    <n v="0.17898193760262723"/>
  </r>
  <r>
    <x v="729"/>
    <x v="0"/>
    <x v="1"/>
    <x v="3"/>
    <n v="197156.4"/>
    <n v="167650"/>
    <n v="29506.399999999994"/>
    <n v="0.1496598639455782"/>
  </r>
  <r>
    <x v="730"/>
    <x v="1"/>
    <x v="3"/>
    <x v="3"/>
    <n v="198660"/>
    <n v="188125"/>
    <n v="10535"/>
    <n v="5.3030303030303032E-2"/>
  </r>
  <r>
    <x v="731"/>
    <x v="0"/>
    <x v="2"/>
    <x v="4"/>
    <n v="13739.5664"/>
    <n v="7988.12"/>
    <n v="5751.4463999999998"/>
    <n v="0.41860465116279072"/>
  </r>
  <r>
    <x v="732"/>
    <x v="2"/>
    <x v="0"/>
    <x v="4"/>
    <n v="171833.19999999998"/>
    <n v="145054"/>
    <n v="26779.199999999983"/>
    <n v="0.15584415584415576"/>
  </r>
  <r>
    <x v="732"/>
    <x v="1"/>
    <x v="4"/>
    <x v="4"/>
    <n v="296860.375"/>
    <n v="259440.99999999997"/>
    <n v="37419.375000000029"/>
    <n v="0.12605042016806733"/>
  </r>
  <r>
    <x v="733"/>
    <x v="3"/>
    <x v="1"/>
    <x v="4"/>
    <n v="5416.0924999999997"/>
    <n v="4072.2499999999995"/>
    <n v="1343.8425000000002"/>
    <n v="0.24812030075187974"/>
  </r>
  <r>
    <x v="733"/>
    <x v="1"/>
    <x v="2"/>
    <x v="4"/>
    <n v="19274.919999999998"/>
    <n v="10475.5"/>
    <n v="8799.4199999999983"/>
    <n v="0.45652173913043476"/>
  </r>
  <r>
    <x v="733"/>
    <x v="1"/>
    <x v="2"/>
    <x v="3"/>
    <n v="474784.8"/>
    <n v="395654"/>
    <n v="79130.799999999988"/>
    <n v="0.16666666666666666"/>
  </r>
  <r>
    <x v="734"/>
    <x v="0"/>
    <x v="3"/>
    <x v="1"/>
    <n v="243822.11538461538"/>
    <n v="156975"/>
    <n v="86847.115384615376"/>
    <n v="0.35619047619047617"/>
  </r>
  <r>
    <x v="735"/>
    <x v="0"/>
    <x v="2"/>
    <x v="4"/>
    <n v="342382.6"/>
    <n v="259531.99999999997"/>
    <n v="82850.600000000006"/>
    <n v="0.24198250728862977"/>
  </r>
  <r>
    <x v="735"/>
    <x v="2"/>
    <x v="0"/>
    <x v="4"/>
    <n v="492445.88399999996"/>
    <n v="389166.96"/>
    <n v="103278.92399999994"/>
    <n v="0.20972644376899685"/>
  </r>
  <r>
    <x v="735"/>
    <x v="0"/>
    <x v="0"/>
    <x v="4"/>
    <n v="12852.041439999999"/>
    <n v="10314.64"/>
    <n v="2537.4014399999996"/>
    <n v="0.1974317817014446"/>
  </r>
  <r>
    <x v="735"/>
    <x v="2"/>
    <x v="0"/>
    <x v="2"/>
    <n v="4679.3098799999998"/>
    <n v="4080.7934999999998"/>
    <n v="598.51638000000003"/>
    <n v="0.12790697674418605"/>
  </r>
  <r>
    <x v="736"/>
    <x v="0"/>
    <x v="1"/>
    <x v="0"/>
    <n v="11298"/>
    <n v="7531.9999999999991"/>
    <n v="3766.0000000000009"/>
    <n v="0.33333333333333343"/>
  </r>
  <r>
    <x v="737"/>
    <x v="1"/>
    <x v="2"/>
    <x v="4"/>
    <n v="95510.799999999988"/>
    <n v="80626"/>
    <n v="14884.799999999988"/>
    <n v="0.15584415584415573"/>
  </r>
  <r>
    <x v="737"/>
    <x v="2"/>
    <x v="0"/>
    <x v="4"/>
    <n v="28190.358"/>
    <n v="15661.309999999998"/>
    <n v="12529.048000000003"/>
    <n v="0.44444444444444453"/>
  </r>
  <r>
    <x v="738"/>
    <x v="1"/>
    <x v="0"/>
    <x v="2"/>
    <n v="9280.4275200000011"/>
    <n v="7102.3679999999995"/>
    <n v="2178.0595200000016"/>
    <n v="0.23469387755102056"/>
  </r>
  <r>
    <x v="738"/>
    <x v="1"/>
    <x v="4"/>
    <x v="2"/>
    <n v="18783.449999999997"/>
    <n v="15828.749999999998"/>
    <n v="2954.6999999999989"/>
    <n v="0.15730337078651682"/>
  </r>
  <r>
    <x v="739"/>
    <x v="4"/>
    <x v="1"/>
    <x v="4"/>
    <n v="3827.8799999999997"/>
    <n v="2058"/>
    <n v="1769.8799999999997"/>
    <n v="0.46236559139784944"/>
  </r>
  <r>
    <x v="740"/>
    <x v="3"/>
    <x v="4"/>
    <x v="4"/>
    <n v="4833.2129999999997"/>
    <n v="3522.75"/>
    <n v="1310.4629999999997"/>
    <n v="0.27113702623906699"/>
  </r>
  <r>
    <x v="740"/>
    <x v="4"/>
    <x v="2"/>
    <x v="2"/>
    <n v="9076.1999999999989"/>
    <n v="6807.15"/>
    <n v="2269.0499999999993"/>
    <n v="0.24999999999999994"/>
  </r>
  <r>
    <x v="741"/>
    <x v="0"/>
    <x v="0"/>
    <x v="1"/>
    <n v="174824.27307692307"/>
    <n v="154738.07999999999"/>
    <n v="20086.193076923082"/>
    <n v="0.11489361702127664"/>
  </r>
  <r>
    <x v="741"/>
    <x v="0"/>
    <x v="0"/>
    <x v="3"/>
    <n v="104531.7"/>
    <n v="95725"/>
    <n v="8806.6999999999971"/>
    <n v="8.4249084249084227E-2"/>
  </r>
  <r>
    <x v="742"/>
    <x v="3"/>
    <x v="0"/>
    <x v="0"/>
    <n v="48988.264499999997"/>
    <n v="34743.449999999997"/>
    <n v="14244.8145"/>
    <n v="0.29078014184397166"/>
  </r>
  <r>
    <x v="743"/>
    <x v="3"/>
    <x v="0"/>
    <x v="1"/>
    <n v="128487.18749999999"/>
    <n v="117473.99999999999"/>
    <n v="11013.1875"/>
    <n v="8.5714285714285729E-2"/>
  </r>
  <r>
    <x v="743"/>
    <x v="3"/>
    <x v="2"/>
    <x v="4"/>
    <n v="605.68899999999996"/>
    <n v="460.24999999999994"/>
    <n v="145.43900000000002"/>
    <n v="0.24012158054711252"/>
  </r>
  <r>
    <x v="744"/>
    <x v="2"/>
    <x v="2"/>
    <x v="0"/>
    <n v="11434.5"/>
    <n v="7622.9999999999991"/>
    <n v="3811.5000000000009"/>
    <n v="0.33333333333333343"/>
  </r>
  <r>
    <x v="744"/>
    <x v="0"/>
    <x v="1"/>
    <x v="1"/>
    <n v="136264.3355769231"/>
    <n v="130312.56"/>
    <n v="5951.7755769231007"/>
    <n v="4.3678160919540396E-2"/>
  </r>
  <r>
    <x v="745"/>
    <x v="4"/>
    <x v="0"/>
    <x v="1"/>
    <n v="142194.23076923075"/>
    <n v="91546"/>
    <n v="50648.230769230751"/>
    <n v="0.356190476190476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5EB0F-9A88-4350-AC2B-54A62EEB3FC7}" name="TablaDiná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4" rowHeaderCaption="Mes">
  <location ref="A3:E16" firstHeaderRow="0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7">
        <item x="3"/>
        <item x="4"/>
        <item x="1"/>
        <item x="2"/>
        <item x="0"/>
        <item m="1" x="5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dataField="1" numFmtId="166" showAll="0"/>
    <pivotField dataField="1" numFmtId="166" showAll="0"/>
    <pivotField dataField="1" numFmtId="166" showAll="0"/>
    <pivotField numFmtId="9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ataField="1" dragToRow="0" dragToCol="0" dragToPage="0" showAll="0" defaultSubtota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Ingresos" fld="4" baseField="0" baseItem="0" numFmtId="166"/>
    <dataField name="Suma de Gastos" fld="5" baseField="0" baseItem="0" numFmtId="166"/>
    <dataField name="Suma de Beneficio" fld="6" baseField="0" baseItem="0" numFmtId="166"/>
    <dataField name="Margen Benef" fld="10" baseField="0" baseItem="1" numFmtId="167"/>
  </dataFields>
  <formats count="2">
    <format dxfId="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DD331-4D90-4A2B-A4F2-98FF09271F7E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8" rowHeaderCaption="Mes">
  <location ref="K3:L16" firstHeaderRow="1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7">
        <item x="3"/>
        <item x="4"/>
        <item x="1"/>
        <item x="2"/>
        <item x="0"/>
        <item m="1" x="5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numFmtId="166" showAll="0"/>
    <pivotField numFmtId="166" showAll="0"/>
    <pivotField dataField="1" numFmtId="166" showAll="0"/>
    <pivotField numFmtId="9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Beneficio" fld="6" baseField="0" baseItem="0" numFmtId="166"/>
  </dataFields>
  <formats count="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C89C9-BD2F-4F67-BF8B-B1E35940E9E0}" name="TablaDiná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10">
  <location ref="A3:B9" firstHeaderRow="1" firstDataRow="1" firstDataCol="1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>
      <items count="7">
        <item x="3"/>
        <item x="4"/>
        <item x="1"/>
        <item x="2"/>
        <item x="0"/>
        <item m="1" x="5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dataField="1" numFmtId="166" showAll="0"/>
    <pivotField numFmtId="166" showAll="0"/>
    <pivotField numFmtId="166" showAll="0"/>
    <pivotField numFmtId="9" showAll="0"/>
    <pivotField showAll="0" defaultSubtotal="0"/>
    <pivotField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Ingresos" fld="4" baseField="0" baseItem="0" numFmtId="166"/>
  </dataFields>
  <formats count="1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D2CEA-DE17-4CE4-BDE3-8B2342BE8A63}" name="TablaDiná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9">
  <location ref="A20:B26" firstHeaderRow="1" firstDataRow="1" firstDataCol="1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axis="axisRow" showAll="0">
      <items count="7">
        <item x="3"/>
        <item x="4"/>
        <item x="1"/>
        <item x="2"/>
        <item m="1" x="5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dataField="1" numFmtId="166" showAll="0"/>
    <pivotField numFmtId="166" showAll="0"/>
    <pivotField numFmtId="166" showAll="0"/>
    <pivotField numFmtId="9" showAll="0"/>
    <pivotField showAll="0" defaultSubtotal="0"/>
    <pivotField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a de Ingresos" fld="4" baseField="0" baseItem="0"/>
  </dataFields>
  <chartFormats count="7"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B7055-756F-4B83-AA13-DC2FC2EE3A77}" name="TablaDinámica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>
  <location ref="A3:D4" firstHeaderRow="0" firstDataRow="1" firstDataCol="0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7">
        <item x="3"/>
        <item x="4"/>
        <item x="1"/>
        <item x="2"/>
        <item x="0"/>
        <item m="1" x="5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dataField="1" numFmtId="166" showAll="0"/>
    <pivotField dataField="1" numFmtId="166" showAll="0"/>
    <pivotField dataField="1" numFmtId="166" showAll="0"/>
    <pivotField numFmtId="9" showAll="0"/>
    <pivotField showAll="0" defaultSubtotal="0"/>
    <pivotField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Ingresos" fld="4" baseField="0" baseItem="0" numFmtId="166"/>
    <dataField name="Suma de Gastos" fld="5" baseField="0" baseItem="0" numFmtId="166"/>
    <dataField name="Suma de Beneficio" fld="6" baseField="0" baseItem="0" numFmtId="166"/>
    <dataField name="Suma de Margen OK" fld="10" baseField="0" baseItem="0" numFmtId="167"/>
  </dataFields>
  <formats count="2">
    <format dxfId="6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FFBD8134-FA71-460C-8926-BD8E1655CDE0}" sourceName="País">
  <pivotTables>
    <pivotTable tabId="8" name="TablaDinámica2"/>
    <pivotTable tabId="8" name="TablaDinámica3"/>
    <pivotTable tabId="10" name="TablaDinámica4"/>
    <pivotTable tabId="10" name="TablaDinámica5"/>
    <pivotTable tabId="11" name="TablaDinámica6"/>
  </pivotTables>
  <data>
    <tabular pivotCacheId="26393290">
      <items count="5">
        <i x="2" s="1"/>
        <i x="3" s="1"/>
        <i x="0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" xr10:uid="{5CF6E643-CB9F-4962-A22E-EC57186C9A71}" sourceName="Marca">
  <pivotTables>
    <pivotTable tabId="8" name="TablaDinámica2"/>
    <pivotTable tabId="8" name="TablaDinámica3"/>
    <pivotTable tabId="10" name="TablaDinámica4"/>
    <pivotTable tabId="10" name="TablaDinámica5"/>
    <pivotTable tabId="11" name="TablaDinámica6"/>
  </pivotTables>
  <data>
    <tabular pivotCacheId="26393290">
      <items count="6">
        <i x="3" s="1"/>
        <i x="4" s="1"/>
        <i x="1" s="1"/>
        <i x="2" s="1"/>
        <i x="0" s="1"/>
        <i x="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C7BD3282-A9B3-479B-80EF-C4210EB03470}" sourceName="Canal">
  <pivotTables>
    <pivotTable tabId="8" name="TablaDinámica2"/>
    <pivotTable tabId="8" name="TablaDinámica3"/>
    <pivotTable tabId="10" name="TablaDinámica4"/>
    <pivotTable tabId="10" name="TablaDinámica5"/>
    <pivotTable tabId="11" name="TablaDinámica6"/>
  </pivotTables>
  <data>
    <tabular pivotCacheId="26393290">
      <items count="5">
        <i x="0" s="1"/>
        <i x="1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24FD6BA2-7B2F-4CFC-A591-D0C39B1A4666}" cache="SegmentaciónDeDatos_País" caption="País" style="SlicerStyleLight2" rowHeight="241300"/>
  <slicer name="Marca" xr10:uid="{9FFF65B1-071F-4337-ABC3-FD0D366243C9}" cache="SegmentaciónDeDatos_Marca" caption="Marca" style="SlicerStyleLight2" rowHeight="241300"/>
  <slicer name="Canal" xr10:uid="{386723A9-56E2-4407-80EA-A4018F6FF402}" cache="SegmentaciónDeDatos_Canal" caption="Canal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F1CED-52A1-4E0D-9090-0474CE1CA809}" name="Tabla1" displayName="Tabla1" ref="A1:H1401" totalsRowShown="0" headerRowDxfId="4" headerRowCellStyle="Moneda">
  <autoFilter ref="A1:H1401" xr:uid="{00000000-0009-0000-0000-000000000000}"/>
  <tableColumns count="8">
    <tableColumn id="1" xr3:uid="{28DA0F66-26CE-4BE9-BBD4-DD78507FC007}" name="Fecha" dataDxfId="3"/>
    <tableColumn id="2" xr3:uid="{A084B142-D48E-43DB-B2A3-79A363B4C686}" name="País"/>
    <tableColumn id="3" xr3:uid="{CB081916-6E55-41BB-B581-10160906631B}" name="Marca"/>
    <tableColumn id="4" xr3:uid="{6BE2A6F0-6021-430C-953E-1FB1AF70F9E7}" name="Canal"/>
    <tableColumn id="5" xr3:uid="{C5B48609-FC1E-402A-84A3-F7ECC3186E2E}" name="Ingresos" dataDxfId="2" dataCellStyle="Moneda"/>
    <tableColumn id="6" xr3:uid="{22EA3234-C9C4-4BE8-9DB7-6D45EBA9905D}" name="Gastos" dataDxfId="1" dataCellStyle="Moneda"/>
    <tableColumn id="7" xr3:uid="{8CD67258-1BA7-469D-A8A6-05275945CBC9}" name="Beneficio" dataDxfId="0">
      <calculatedColumnFormula>Tabla1[[#This Row],[Ingresos]]-Tabla1[[#This Row],[Gastos]]</calculatedColumnFormula>
    </tableColumn>
    <tableColumn id="8" xr3:uid="{D0E8032B-D934-4A3B-899D-54A43A7186A0}" name="Margen" dataCellStyle="Porcentaje">
      <calculatedColumnFormula>Tabla1[[#This Row],[Beneficio]]/Tabla1[[#This Row],[Ingresos]]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59CDC778-C2A7-4F08-B1B4-51A7234204E5}" sourceName="Fecha">
  <pivotTables>
    <pivotTable tabId="8" name="TablaDinámica2"/>
    <pivotTable tabId="8" name="TablaDinámica3"/>
    <pivotTable tabId="10" name="TablaDinámica4"/>
    <pivotTable tabId="10" name="TablaDinámica5"/>
    <pivotTable tabId="11" name="TablaDinámica6"/>
  </pivotTables>
  <state minimalRefreshVersion="6" lastRefreshVersion="6" pivotCacheId="26393290" filterType="unknown">
    <bounds startDate="2018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E1B11673-5E94-4951-AE42-87443B73ED42}" cache="NativeTimeline_Fecha" caption="Fecha" level="0" selectionLevel="0" scrollPosition="2018-01-01T00:00:00" style="TimeSlicerStyleLight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1BF7-A83C-41B8-A66F-82AA1B7A6D73}">
  <dimension ref="A1"/>
  <sheetViews>
    <sheetView showGridLines="0" tabSelected="1" topLeftCell="A3" zoomScale="90" zoomScaleNormal="90" workbookViewId="0">
      <selection activeCell="S7" sqref="S7"/>
    </sheetView>
  </sheetViews>
  <sheetFormatPr baseColWidth="10" defaultColWidth="11.36328125" defaultRowHeight="14.5" x14ac:dyDescent="0.35"/>
  <cols>
    <col min="1" max="1" width="1.7265625" style="15" customWidth="1"/>
    <col min="2" max="16384" width="11.36328125" style="15"/>
  </cols>
  <sheetData/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8796-EC77-4C68-9DF0-EDF524DD809C}">
  <dimension ref="A3:L16"/>
  <sheetViews>
    <sheetView showGridLines="0" workbookViewId="0">
      <selection activeCell="B16" sqref="B16"/>
    </sheetView>
  </sheetViews>
  <sheetFormatPr baseColWidth="10" defaultRowHeight="14.5" x14ac:dyDescent="0.35"/>
  <cols>
    <col min="1" max="1" width="11.7265625" bestFit="1" customWidth="1"/>
    <col min="2" max="2" width="15.453125" bestFit="1" customWidth="1"/>
    <col min="3" max="3" width="14.1796875" bestFit="1" customWidth="1"/>
    <col min="4" max="4" width="16.1796875" bestFit="1" customWidth="1"/>
    <col min="5" max="5" width="12.54296875" bestFit="1" customWidth="1"/>
    <col min="6" max="6" width="19" bestFit="1" customWidth="1"/>
    <col min="11" max="11" width="11.7265625" bestFit="1" customWidth="1"/>
    <col min="12" max="12" width="16.1796875" bestFit="1" customWidth="1"/>
  </cols>
  <sheetData>
    <row r="3" spans="1:12" x14ac:dyDescent="0.35">
      <c r="A3" s="9" t="s">
        <v>41</v>
      </c>
      <c r="B3" t="s">
        <v>36</v>
      </c>
      <c r="C3" t="s">
        <v>37</v>
      </c>
      <c r="D3" t="s">
        <v>38</v>
      </c>
      <c r="E3" t="s">
        <v>40</v>
      </c>
      <c r="K3" s="9" t="s">
        <v>41</v>
      </c>
      <c r="L3" t="s">
        <v>38</v>
      </c>
    </row>
    <row r="4" spans="1:12" x14ac:dyDescent="0.35">
      <c r="A4" s="10" t="s">
        <v>22</v>
      </c>
      <c r="B4" s="8">
        <v>18305797.148978777</v>
      </c>
      <c r="C4" s="8">
        <v>15409983.254575001</v>
      </c>
      <c r="D4" s="8">
        <v>2895813.8944037682</v>
      </c>
      <c r="E4" s="14">
        <v>0.15819108399577761</v>
      </c>
      <c r="K4" s="10" t="s">
        <v>22</v>
      </c>
      <c r="L4" s="8">
        <v>2895813.8944037682</v>
      </c>
    </row>
    <row r="5" spans="1:12" x14ac:dyDescent="0.35">
      <c r="A5" s="10" t="s">
        <v>23</v>
      </c>
      <c r="B5" s="8">
        <v>9840922.9194415193</v>
      </c>
      <c r="C5" s="8">
        <v>8283706.4639000008</v>
      </c>
      <c r="D5" s="8">
        <v>1557216.4555415181</v>
      </c>
      <c r="E5" s="14">
        <v>0.15823886319291397</v>
      </c>
      <c r="K5" s="10" t="s">
        <v>23</v>
      </c>
      <c r="L5" s="8">
        <v>1557216.4555415181</v>
      </c>
    </row>
    <row r="6" spans="1:12" x14ac:dyDescent="0.35">
      <c r="A6" s="10" t="s">
        <v>24</v>
      </c>
      <c r="B6" s="8">
        <v>14130328.395829292</v>
      </c>
      <c r="C6" s="8">
        <v>11809286.58595</v>
      </c>
      <c r="D6" s="8">
        <v>2321041.8098792895</v>
      </c>
      <c r="E6" s="14">
        <v>0.16425958016406528</v>
      </c>
      <c r="K6" s="10" t="s">
        <v>24</v>
      </c>
      <c r="L6" s="8">
        <v>2321041.8098792895</v>
      </c>
    </row>
    <row r="7" spans="1:12" x14ac:dyDescent="0.35">
      <c r="A7" s="10" t="s">
        <v>25</v>
      </c>
      <c r="B7" s="8">
        <v>16743477.753393995</v>
      </c>
      <c r="C7" s="8">
        <v>13926274.718300004</v>
      </c>
      <c r="D7" s="8">
        <v>2817203.035093999</v>
      </c>
      <c r="E7" s="14">
        <v>0.16825674310839853</v>
      </c>
      <c r="K7" s="10" t="s">
        <v>25</v>
      </c>
      <c r="L7" s="8">
        <v>2817203.035093999</v>
      </c>
    </row>
    <row r="8" spans="1:12" x14ac:dyDescent="0.35">
      <c r="A8" s="10" t="s">
        <v>26</v>
      </c>
      <c r="B8" s="8">
        <v>17017104.329048116</v>
      </c>
      <c r="C8" s="8">
        <v>14136910.097449997</v>
      </c>
      <c r="D8" s="8">
        <v>2880194.231598116</v>
      </c>
      <c r="E8" s="14">
        <v>0.16925289848999975</v>
      </c>
      <c r="K8" s="10" t="s">
        <v>26</v>
      </c>
      <c r="L8" s="8">
        <v>2880194.231598116</v>
      </c>
    </row>
    <row r="9" spans="1:12" x14ac:dyDescent="0.35">
      <c r="A9" s="10" t="s">
        <v>27</v>
      </c>
      <c r="B9" s="8">
        <v>11468012.161020694</v>
      </c>
      <c r="C9" s="8">
        <v>9690578.24175</v>
      </c>
      <c r="D9" s="8">
        <v>1777433.9192706924</v>
      </c>
      <c r="E9" s="14">
        <v>0.15499058549241149</v>
      </c>
      <c r="K9" s="10" t="s">
        <v>27</v>
      </c>
      <c r="L9" s="8">
        <v>1777433.9192706924</v>
      </c>
    </row>
    <row r="10" spans="1:12" x14ac:dyDescent="0.35">
      <c r="A10" s="10" t="s">
        <v>28</v>
      </c>
      <c r="B10" s="8">
        <v>16167263.007895725</v>
      </c>
      <c r="C10" s="8">
        <v>13516326.329100007</v>
      </c>
      <c r="D10" s="8">
        <v>2650936.6787957298</v>
      </c>
      <c r="E10" s="14">
        <v>0.16396941631376147</v>
      </c>
      <c r="K10" s="10" t="s">
        <v>28</v>
      </c>
      <c r="L10" s="8">
        <v>2650936.6787957298</v>
      </c>
    </row>
    <row r="11" spans="1:12" x14ac:dyDescent="0.35">
      <c r="A11" s="10" t="s">
        <v>29</v>
      </c>
      <c r="B11" s="8">
        <v>8334733.6047303425</v>
      </c>
      <c r="C11" s="8">
        <v>7074830.9526999984</v>
      </c>
      <c r="D11" s="8">
        <v>1259902.6520303462</v>
      </c>
      <c r="E11" s="14">
        <v>0.15116291795040621</v>
      </c>
      <c r="K11" s="10" t="s">
        <v>29</v>
      </c>
      <c r="L11" s="8">
        <v>1259902.6520303462</v>
      </c>
    </row>
    <row r="12" spans="1:12" x14ac:dyDescent="0.35">
      <c r="A12" s="10" t="s">
        <v>30</v>
      </c>
      <c r="B12" s="8">
        <v>9499473.0914555769</v>
      </c>
      <c r="C12" s="8">
        <v>8265473.823950001</v>
      </c>
      <c r="D12" s="8">
        <v>1233999.2675055771</v>
      </c>
      <c r="E12" s="14">
        <v>0.12990186462189293</v>
      </c>
      <c r="K12" s="10" t="s">
        <v>30</v>
      </c>
      <c r="L12" s="8">
        <v>1233999.2675055771</v>
      </c>
    </row>
    <row r="13" spans="1:12" x14ac:dyDescent="0.35">
      <c r="A13" s="10" t="s">
        <v>31</v>
      </c>
      <c r="B13" s="8">
        <v>10152144.468770234</v>
      </c>
      <c r="C13" s="8">
        <v>8633627.1797999982</v>
      </c>
      <c r="D13" s="8">
        <v>1518517.2889702311</v>
      </c>
      <c r="E13" s="14">
        <v>0.14957601259925477</v>
      </c>
      <c r="K13" s="10" t="s">
        <v>31</v>
      </c>
      <c r="L13" s="8">
        <v>1518517.2889702311</v>
      </c>
    </row>
    <row r="14" spans="1:12" x14ac:dyDescent="0.35">
      <c r="A14" s="10" t="s">
        <v>32</v>
      </c>
      <c r="B14" s="8">
        <v>11670738.095711425</v>
      </c>
      <c r="C14" s="8">
        <v>9701535.9304500017</v>
      </c>
      <c r="D14" s="8">
        <v>1969202.1652614221</v>
      </c>
      <c r="E14" s="14">
        <v>0.168729873733096</v>
      </c>
      <c r="K14" s="10" t="s">
        <v>32</v>
      </c>
      <c r="L14" s="8">
        <v>1969202.1652614221</v>
      </c>
    </row>
    <row r="15" spans="1:12" x14ac:dyDescent="0.35">
      <c r="A15" s="10" t="s">
        <v>33</v>
      </c>
      <c r="B15" s="8">
        <v>8963272.1633829251</v>
      </c>
      <c r="C15" s="8">
        <v>7798039.8366500018</v>
      </c>
      <c r="D15" s="8">
        <v>1165232.326732923</v>
      </c>
      <c r="E15" s="14">
        <v>0.13000077488366035</v>
      </c>
      <c r="K15" s="10" t="s">
        <v>33</v>
      </c>
      <c r="L15" s="8">
        <v>1165232.326732923</v>
      </c>
    </row>
    <row r="16" spans="1:12" x14ac:dyDescent="0.35">
      <c r="A16" s="10" t="s">
        <v>21</v>
      </c>
      <c r="B16" s="8">
        <v>152293267.1396586</v>
      </c>
      <c r="C16" s="8">
        <v>128246573.41457503</v>
      </c>
      <c r="D16" s="8">
        <v>24046693.725083612</v>
      </c>
      <c r="E16" s="14">
        <v>0.15789728710089262</v>
      </c>
      <c r="K16" s="10" t="s">
        <v>21</v>
      </c>
      <c r="L16" s="8">
        <v>24046693.725083612</v>
      </c>
    </row>
  </sheetData>
  <conditionalFormatting pivot="1" sqref="D4:D15">
    <cfRule type="dataBar" priority="4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{4DB20967-EC4C-45F9-9839-8DF4FF9E1DDE}</x14:id>
        </ext>
      </extLst>
    </cfRule>
  </conditionalFormatting>
  <conditionalFormatting pivot="1" sqref="E4:E15">
    <cfRule type="iconSet" priority="3">
      <iconSet>
        <cfvo type="percent" val="0"/>
        <cfvo type="percent" val="33"/>
        <cfvo type="percent" val="67"/>
      </iconSet>
    </cfRule>
  </conditionalFormatting>
  <conditionalFormatting pivot="1" sqref="L4:L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{3ACC4970-7AE5-4FE8-ACDA-26F15AA5C9D7}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DB20967-EC4C-45F9-9839-8DF4FF9E1DDE}">
            <x14:dataBar minLength="0" maxLength="100" border="1" negativeBarBorderColorSameAsPositive="0">
              <x14:cfvo type="autoMin"/>
              <x14:cfvo type="autoMax"/>
              <x14:borderColor theme="5" tint="-0.499984740745262"/>
              <x14:negativeFillColor rgb="FFFF0000"/>
              <x14:negativeBorderColor rgb="FFFF0000"/>
              <x14:axisColor rgb="FF000000"/>
            </x14:dataBar>
          </x14:cfRule>
          <xm:sqref>D4:D15</xm:sqref>
        </x14:conditionalFormatting>
        <x14:conditionalFormatting xmlns:xm="http://schemas.microsoft.com/office/excel/2006/main" pivot="1">
          <x14:cfRule type="dataBar" id="{3ACC4970-7AE5-4FE8-ACDA-26F15AA5C9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L4:L15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0991-8A5B-4415-8B1A-191276955D94}">
  <dimension ref="A3:B26"/>
  <sheetViews>
    <sheetView workbookViewId="0">
      <selection activeCell="B8" sqref="B8"/>
    </sheetView>
  </sheetViews>
  <sheetFormatPr baseColWidth="10" defaultRowHeight="14.5" x14ac:dyDescent="0.35"/>
  <cols>
    <col min="1" max="1" width="16.54296875" bestFit="1" customWidth="1"/>
    <col min="2" max="2" width="15.453125" bestFit="1" customWidth="1"/>
    <col min="3" max="3" width="9.90625" bestFit="1" customWidth="1"/>
  </cols>
  <sheetData>
    <row r="3" spans="1:2" x14ac:dyDescent="0.35">
      <c r="A3" s="9" t="s">
        <v>20</v>
      </c>
      <c r="B3" t="s">
        <v>42</v>
      </c>
    </row>
    <row r="4" spans="1:2" x14ac:dyDescent="0.35">
      <c r="A4" s="11" t="s">
        <v>9</v>
      </c>
      <c r="B4" s="8">
        <v>28458724.079454042</v>
      </c>
    </row>
    <row r="5" spans="1:2" x14ac:dyDescent="0.35">
      <c r="A5" s="11" t="s">
        <v>5</v>
      </c>
      <c r="B5" s="8">
        <v>31781647.288109388</v>
      </c>
    </row>
    <row r="6" spans="1:2" x14ac:dyDescent="0.35">
      <c r="A6" s="11" t="s">
        <v>8</v>
      </c>
      <c r="B6" s="8">
        <v>31065613.343907688</v>
      </c>
    </row>
    <row r="7" spans="1:2" x14ac:dyDescent="0.35">
      <c r="A7" s="11" t="s">
        <v>7</v>
      </c>
      <c r="B7" s="8">
        <v>28281140.058534712</v>
      </c>
    </row>
    <row r="8" spans="1:2" x14ac:dyDescent="0.35">
      <c r="A8" s="11" t="s">
        <v>6</v>
      </c>
      <c r="B8" s="8">
        <v>32706142.369652774</v>
      </c>
    </row>
    <row r="9" spans="1:2" x14ac:dyDescent="0.35">
      <c r="A9" s="11" t="s">
        <v>21</v>
      </c>
      <c r="B9" s="8">
        <v>152293267.1396586</v>
      </c>
    </row>
    <row r="20" spans="1:2" x14ac:dyDescent="0.35">
      <c r="A20" s="9" t="s">
        <v>20</v>
      </c>
      <c r="B20" t="s">
        <v>36</v>
      </c>
    </row>
    <row r="21" spans="1:2" x14ac:dyDescent="0.35">
      <c r="A21" s="11" t="s">
        <v>12</v>
      </c>
      <c r="B21" s="16">
        <v>30813807.898761727</v>
      </c>
    </row>
    <row r="22" spans="1:2" x14ac:dyDescent="0.35">
      <c r="A22" s="11" t="s">
        <v>13</v>
      </c>
      <c r="B22" s="16">
        <v>27580603.725563254</v>
      </c>
    </row>
    <row r="23" spans="1:2" x14ac:dyDescent="0.35">
      <c r="A23" s="11" t="s">
        <v>11</v>
      </c>
      <c r="B23" s="16">
        <v>19652463.165671259</v>
      </c>
    </row>
    <row r="24" spans="1:2" x14ac:dyDescent="0.35">
      <c r="A24" s="11" t="s">
        <v>10</v>
      </c>
      <c r="B24" s="16">
        <v>40619275.145183556</v>
      </c>
    </row>
    <row r="25" spans="1:2" x14ac:dyDescent="0.35">
      <c r="A25" s="11" t="s">
        <v>43</v>
      </c>
      <c r="B25" s="16">
        <v>33627117.2044788</v>
      </c>
    </row>
    <row r="26" spans="1:2" x14ac:dyDescent="0.35">
      <c r="A26" s="11" t="s">
        <v>21</v>
      </c>
      <c r="B26" s="16">
        <v>152293267.1396586</v>
      </c>
    </row>
  </sheetData>
  <conditionalFormatting pivot="1" sqref="B4:B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{6761D1F8-E501-4B58-9879-957DBC32CBD2}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761D1F8-E501-4B58-9879-957DBC32CB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58EE-6BBD-42B0-B6E8-8C348D6E97DB}">
  <dimension ref="A3:D4"/>
  <sheetViews>
    <sheetView workbookViewId="0">
      <selection activeCell="D4" sqref="D4"/>
    </sheetView>
  </sheetViews>
  <sheetFormatPr baseColWidth="10" defaultRowHeight="14.5" x14ac:dyDescent="0.35"/>
  <cols>
    <col min="1" max="1" width="15.453125" bestFit="1" customWidth="1"/>
    <col min="2" max="2" width="14.1796875" bestFit="1" customWidth="1"/>
    <col min="3" max="3" width="16.1796875" bestFit="1" customWidth="1"/>
    <col min="4" max="4" width="17.90625" bestFit="1" customWidth="1"/>
  </cols>
  <sheetData>
    <row r="3" spans="1:4" x14ac:dyDescent="0.35">
      <c r="A3" t="s">
        <v>36</v>
      </c>
      <c r="B3" t="s">
        <v>37</v>
      </c>
      <c r="C3" t="s">
        <v>38</v>
      </c>
      <c r="D3" t="s">
        <v>39</v>
      </c>
    </row>
    <row r="4" spans="1:4" x14ac:dyDescent="0.35">
      <c r="A4" s="8">
        <v>152293267.13965872</v>
      </c>
      <c r="B4" s="8">
        <v>128246573.41457495</v>
      </c>
      <c r="C4" s="8">
        <v>24046693.725083634</v>
      </c>
      <c r="D4" s="14">
        <v>0.15789728710089265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1"/>
  <sheetViews>
    <sheetView zoomScale="130" zoomScaleNormal="130" workbookViewId="0">
      <selection activeCell="F2" sqref="F2"/>
    </sheetView>
  </sheetViews>
  <sheetFormatPr baseColWidth="10" defaultColWidth="9.08984375" defaultRowHeight="14.5" x14ac:dyDescent="0.35"/>
  <cols>
    <col min="1" max="1" width="13.7265625" style="2" customWidth="1"/>
    <col min="2" max="2" width="15.08984375" customWidth="1"/>
    <col min="3" max="3" width="18.36328125" style="1" customWidth="1"/>
    <col min="4" max="4" width="16.26953125" bestFit="1" customWidth="1"/>
    <col min="5" max="5" width="17.7265625" style="7" customWidth="1"/>
    <col min="6" max="6" width="16.08984375" style="7" customWidth="1"/>
    <col min="7" max="7" width="13.08984375" bestFit="1" customWidth="1"/>
    <col min="8" max="8" width="9.08984375" style="13"/>
  </cols>
  <sheetData>
    <row r="1" spans="1:8" x14ac:dyDescent="0.35">
      <c r="A1" s="3" t="s">
        <v>2</v>
      </c>
      <c r="B1" s="4" t="s">
        <v>3</v>
      </c>
      <c r="C1" s="4" t="s">
        <v>4</v>
      </c>
      <c r="D1" s="4" t="s">
        <v>14</v>
      </c>
      <c r="E1" s="6" t="s">
        <v>0</v>
      </c>
      <c r="F1" s="6" t="s">
        <v>1</v>
      </c>
      <c r="G1" s="5" t="s">
        <v>34</v>
      </c>
      <c r="H1" s="12" t="s">
        <v>35</v>
      </c>
    </row>
    <row r="2" spans="1:8" x14ac:dyDescent="0.35">
      <c r="A2" s="2">
        <v>43101</v>
      </c>
      <c r="B2" t="s">
        <v>8</v>
      </c>
      <c r="C2" t="s">
        <v>43</v>
      </c>
      <c r="D2" t="s">
        <v>15</v>
      </c>
      <c r="E2" s="7">
        <v>1614.816</v>
      </c>
      <c r="F2" s="7">
        <v>1209.5999999999999</v>
      </c>
      <c r="G2" s="8">
        <f>Tabla1[[#This Row],[Ingresos]]-Tabla1[[#This Row],[Gastos]]</f>
        <v>405.21600000000012</v>
      </c>
      <c r="H2" s="13">
        <f>Tabla1[[#This Row],[Beneficio]]/Tabla1[[#This Row],[Ingresos]]</f>
        <v>0.25093632958801504</v>
      </c>
    </row>
    <row r="3" spans="1:8" x14ac:dyDescent="0.35">
      <c r="A3" s="2">
        <v>43101</v>
      </c>
      <c r="B3" t="s">
        <v>8</v>
      </c>
      <c r="C3" t="s">
        <v>11</v>
      </c>
      <c r="D3" t="s">
        <v>16</v>
      </c>
      <c r="E3" s="7">
        <v>11765.25</v>
      </c>
      <c r="F3" s="7">
        <v>5098.2749999999996</v>
      </c>
      <c r="G3" s="8">
        <f>Tabla1[[#This Row],[Ingresos]]-Tabla1[[#This Row],[Gastos]]</f>
        <v>6666.9750000000004</v>
      </c>
      <c r="H3" s="13">
        <f>Tabla1[[#This Row],[Beneficio]]/Tabla1[[#This Row],[Ingresos]]</f>
        <v>0.56666666666666665</v>
      </c>
    </row>
    <row r="4" spans="1:8" x14ac:dyDescent="0.35">
      <c r="A4" s="2">
        <v>43101</v>
      </c>
      <c r="B4" t="s">
        <v>8</v>
      </c>
      <c r="C4" t="s">
        <v>10</v>
      </c>
      <c r="D4" t="s">
        <v>18</v>
      </c>
      <c r="E4" s="7">
        <v>40583.310768000003</v>
      </c>
      <c r="F4" s="7">
        <v>30195.915749999996</v>
      </c>
      <c r="G4" s="8">
        <f>Tabla1[[#This Row],[Ingresos]]-Tabla1[[#This Row],[Gastos]]</f>
        <v>10387.395018000007</v>
      </c>
      <c r="H4" s="13">
        <f>Tabla1[[#This Row],[Beneficio]]/Tabla1[[#This Row],[Ingresos]]</f>
        <v>0.2559523809523811</v>
      </c>
    </row>
    <row r="5" spans="1:8" x14ac:dyDescent="0.35">
      <c r="A5" s="2">
        <v>43101</v>
      </c>
      <c r="B5" t="s">
        <v>7</v>
      </c>
      <c r="C5" t="s">
        <v>12</v>
      </c>
      <c r="D5" t="s">
        <v>19</v>
      </c>
      <c r="E5" s="7">
        <v>46216.17</v>
      </c>
      <c r="F5" s="7">
        <v>38902.5</v>
      </c>
      <c r="G5" s="8">
        <f>Tabla1[[#This Row],[Ingresos]]-Tabla1[[#This Row],[Gastos]]</f>
        <v>7313.6699999999983</v>
      </c>
      <c r="H5" s="13">
        <f>Tabla1[[#This Row],[Beneficio]]/Tabla1[[#This Row],[Ingresos]]</f>
        <v>0.15824915824915822</v>
      </c>
    </row>
    <row r="6" spans="1:8" x14ac:dyDescent="0.35">
      <c r="A6" s="2">
        <v>43101</v>
      </c>
      <c r="B6" t="s">
        <v>9</v>
      </c>
      <c r="C6" t="s">
        <v>12</v>
      </c>
      <c r="D6" t="s">
        <v>18</v>
      </c>
      <c r="E6" s="7">
        <v>6970.2065999999995</v>
      </c>
      <c r="F6" s="7">
        <v>5389.335</v>
      </c>
      <c r="G6" s="8">
        <f>Tabla1[[#This Row],[Ingresos]]-Tabla1[[#This Row],[Gastos]]</f>
        <v>1580.8715999999995</v>
      </c>
      <c r="H6" s="13">
        <f>Tabla1[[#This Row],[Beneficio]]/Tabla1[[#This Row],[Ingresos]]</f>
        <v>0.22680412371134015</v>
      </c>
    </row>
    <row r="7" spans="1:8" x14ac:dyDescent="0.35">
      <c r="A7" s="2">
        <v>43103</v>
      </c>
      <c r="B7" t="s">
        <v>7</v>
      </c>
      <c r="C7" t="s">
        <v>10</v>
      </c>
      <c r="D7" t="s">
        <v>17</v>
      </c>
      <c r="E7" s="7">
        <v>209607.3</v>
      </c>
      <c r="F7" s="7">
        <v>158886</v>
      </c>
      <c r="G7" s="8">
        <f>Tabla1[[#This Row],[Ingresos]]-Tabla1[[#This Row],[Gastos]]</f>
        <v>50721.299999999988</v>
      </c>
      <c r="H7" s="13">
        <f>Tabla1[[#This Row],[Beneficio]]/Tabla1[[#This Row],[Ingresos]]</f>
        <v>0.24198250728862969</v>
      </c>
    </row>
    <row r="8" spans="1:8" x14ac:dyDescent="0.35">
      <c r="A8" s="2">
        <v>43103</v>
      </c>
      <c r="B8" t="s">
        <v>5</v>
      </c>
      <c r="C8" t="s">
        <v>11</v>
      </c>
      <c r="D8" t="s">
        <v>19</v>
      </c>
      <c r="E8" s="7">
        <v>233700.38999999998</v>
      </c>
      <c r="F8" s="7">
        <v>196717.5</v>
      </c>
      <c r="G8" s="8">
        <f>Tabla1[[#This Row],[Ingresos]]-Tabla1[[#This Row],[Gastos]]</f>
        <v>36982.889999999985</v>
      </c>
      <c r="H8" s="13">
        <f>Tabla1[[#This Row],[Beneficio]]/Tabla1[[#This Row],[Ingresos]]</f>
        <v>0.15824915824915819</v>
      </c>
    </row>
    <row r="9" spans="1:8" x14ac:dyDescent="0.35">
      <c r="A9" s="2">
        <v>43104</v>
      </c>
      <c r="B9" t="s">
        <v>6</v>
      </c>
      <c r="C9" t="s">
        <v>43</v>
      </c>
      <c r="D9" t="s">
        <v>17</v>
      </c>
      <c r="E9" s="7">
        <v>15766.38</v>
      </c>
      <c r="F9" s="7">
        <v>8126.9999999999991</v>
      </c>
      <c r="G9" s="8">
        <f>Tabla1[[#This Row],[Ingresos]]-Tabla1[[#This Row],[Gastos]]</f>
        <v>7639.38</v>
      </c>
      <c r="H9" s="13">
        <f>Tabla1[[#This Row],[Beneficio]]/Tabla1[[#This Row],[Ingresos]]</f>
        <v>0.48453608247422686</v>
      </c>
    </row>
    <row r="10" spans="1:8" x14ac:dyDescent="0.35">
      <c r="A10" s="2">
        <v>43104</v>
      </c>
      <c r="B10" t="s">
        <v>9</v>
      </c>
      <c r="C10" t="s">
        <v>10</v>
      </c>
      <c r="D10" t="s">
        <v>17</v>
      </c>
      <c r="E10" s="7">
        <v>43994.059199999996</v>
      </c>
      <c r="F10" s="7">
        <v>23652.719999999998</v>
      </c>
      <c r="G10" s="8">
        <f>Tabla1[[#This Row],[Ingresos]]-Tabla1[[#This Row],[Gastos]]</f>
        <v>20341.339199999999</v>
      </c>
      <c r="H10" s="13">
        <f>Tabla1[[#This Row],[Beneficio]]/Tabla1[[#This Row],[Ingresos]]</f>
        <v>0.4623655913978495</v>
      </c>
    </row>
    <row r="11" spans="1:8" x14ac:dyDescent="0.35">
      <c r="A11" s="2">
        <v>43105</v>
      </c>
      <c r="B11" t="s">
        <v>5</v>
      </c>
      <c r="C11" t="s">
        <v>13</v>
      </c>
      <c r="D11" t="s">
        <v>16</v>
      </c>
      <c r="E11" s="7">
        <v>67863.357692307691</v>
      </c>
      <c r="F11" s="7">
        <v>62735.903999999995</v>
      </c>
      <c r="G11" s="8">
        <f>Tabla1[[#This Row],[Ingresos]]-Tabla1[[#This Row],[Gastos]]</f>
        <v>5127.4536923076957</v>
      </c>
      <c r="H11" s="13">
        <f>Tabla1[[#This Row],[Beneficio]]/Tabla1[[#This Row],[Ingresos]]</f>
        <v>7.5555555555555612E-2</v>
      </c>
    </row>
    <row r="12" spans="1:8" x14ac:dyDescent="0.35">
      <c r="A12" s="2">
        <v>43105</v>
      </c>
      <c r="B12" t="s">
        <v>9</v>
      </c>
      <c r="C12" t="s">
        <v>43</v>
      </c>
      <c r="D12" t="s">
        <v>18</v>
      </c>
      <c r="E12" s="7">
        <v>8233.0668000000005</v>
      </c>
      <c r="F12" s="7">
        <v>6639.57</v>
      </c>
      <c r="G12" s="8">
        <f>Tabla1[[#This Row],[Ingresos]]-Tabla1[[#This Row],[Gastos]]</f>
        <v>1593.4968000000008</v>
      </c>
      <c r="H12" s="13">
        <f>Tabla1[[#This Row],[Beneficio]]/Tabla1[[#This Row],[Ingresos]]</f>
        <v>0.19354838709677427</v>
      </c>
    </row>
    <row r="13" spans="1:8" x14ac:dyDescent="0.35">
      <c r="A13" s="2">
        <v>43107</v>
      </c>
      <c r="B13" t="s">
        <v>7</v>
      </c>
      <c r="C13" t="s">
        <v>11</v>
      </c>
      <c r="D13" t="s">
        <v>16</v>
      </c>
      <c r="E13" s="7">
        <v>87235.3125</v>
      </c>
      <c r="F13" s="7">
        <v>79758</v>
      </c>
      <c r="G13" s="8">
        <f>Tabla1[[#This Row],[Ingresos]]-Tabla1[[#This Row],[Gastos]]</f>
        <v>7477.3125</v>
      </c>
      <c r="H13" s="13">
        <f>Tabla1[[#This Row],[Beneficio]]/Tabla1[[#This Row],[Ingresos]]</f>
        <v>8.5714285714285715E-2</v>
      </c>
    </row>
    <row r="14" spans="1:8" x14ac:dyDescent="0.35">
      <c r="A14" s="2">
        <v>43107</v>
      </c>
      <c r="B14" t="s">
        <v>7</v>
      </c>
      <c r="C14" t="s">
        <v>11</v>
      </c>
      <c r="D14" t="s">
        <v>18</v>
      </c>
      <c r="E14" s="7">
        <v>1606.5</v>
      </c>
      <c r="F14" s="7">
        <v>1417.5</v>
      </c>
      <c r="G14" s="8">
        <f>Tabla1[[#This Row],[Ingresos]]-Tabla1[[#This Row],[Gastos]]</f>
        <v>189</v>
      </c>
      <c r="H14" s="13">
        <f>Tabla1[[#This Row],[Beneficio]]/Tabla1[[#This Row],[Ingresos]]</f>
        <v>0.11764705882352941</v>
      </c>
    </row>
    <row r="15" spans="1:8" x14ac:dyDescent="0.35">
      <c r="A15" s="2">
        <v>43108</v>
      </c>
      <c r="B15" t="s">
        <v>6</v>
      </c>
      <c r="C15" t="s">
        <v>10</v>
      </c>
      <c r="D15" t="s">
        <v>16</v>
      </c>
      <c r="E15" s="7">
        <v>75182.927884615376</v>
      </c>
      <c r="F15" s="7">
        <v>64486.799999999996</v>
      </c>
      <c r="G15" s="8">
        <f>Tabla1[[#This Row],[Ingresos]]-Tabla1[[#This Row],[Gastos]]</f>
        <v>10696.12788461538</v>
      </c>
      <c r="H15" s="13">
        <f>Tabla1[[#This Row],[Beneficio]]/Tabla1[[#This Row],[Ingresos]]</f>
        <v>0.14226804123711337</v>
      </c>
    </row>
    <row r="16" spans="1:8" x14ac:dyDescent="0.35">
      <c r="A16" s="2">
        <v>43109</v>
      </c>
      <c r="B16" t="s">
        <v>7</v>
      </c>
      <c r="C16" t="s">
        <v>12</v>
      </c>
      <c r="D16" t="s">
        <v>19</v>
      </c>
      <c r="E16" s="7">
        <v>146505.25889999999</v>
      </c>
      <c r="F16" s="7">
        <v>123320.92499999999</v>
      </c>
      <c r="G16" s="8">
        <f>Tabla1[[#This Row],[Ingresos]]-Tabla1[[#This Row],[Gastos]]</f>
        <v>23184.333899999998</v>
      </c>
      <c r="H16" s="13">
        <f>Tabla1[[#This Row],[Beneficio]]/Tabla1[[#This Row],[Ingresos]]</f>
        <v>0.15824915824915825</v>
      </c>
    </row>
    <row r="17" spans="1:8" x14ac:dyDescent="0.35">
      <c r="A17" s="2">
        <v>43110</v>
      </c>
      <c r="B17" t="s">
        <v>7</v>
      </c>
      <c r="C17" t="s">
        <v>43</v>
      </c>
      <c r="D17" t="s">
        <v>16</v>
      </c>
      <c r="E17" s="7">
        <v>110222.4375</v>
      </c>
      <c r="F17" s="7">
        <v>106633.79999999999</v>
      </c>
      <c r="G17" s="8">
        <f>Tabla1[[#This Row],[Ingresos]]-Tabla1[[#This Row],[Gastos]]</f>
        <v>3588.6375000000116</v>
      </c>
      <c r="H17" s="13">
        <f>Tabla1[[#This Row],[Beneficio]]/Tabla1[[#This Row],[Ingresos]]</f>
        <v>3.2558139534883825E-2</v>
      </c>
    </row>
    <row r="18" spans="1:8" x14ac:dyDescent="0.35">
      <c r="A18" s="2">
        <v>43110</v>
      </c>
      <c r="B18" t="s">
        <v>9</v>
      </c>
      <c r="C18" t="s">
        <v>11</v>
      </c>
      <c r="D18" t="s">
        <v>17</v>
      </c>
      <c r="E18" s="7">
        <v>5809.7339999999986</v>
      </c>
      <c r="F18" s="7">
        <v>2964.1499999999996</v>
      </c>
      <c r="G18" s="8">
        <f>Tabla1[[#This Row],[Ingresos]]-Tabla1[[#This Row],[Gastos]]</f>
        <v>2845.5839999999989</v>
      </c>
      <c r="H18" s="13">
        <f>Tabla1[[#This Row],[Beneficio]]/Tabla1[[#This Row],[Ingresos]]</f>
        <v>0.48979591836734687</v>
      </c>
    </row>
    <row r="19" spans="1:8" x14ac:dyDescent="0.35">
      <c r="A19" s="2">
        <v>43111</v>
      </c>
      <c r="B19" t="s">
        <v>5</v>
      </c>
      <c r="C19" t="s">
        <v>43</v>
      </c>
      <c r="D19" t="s">
        <v>16</v>
      </c>
      <c r="E19" s="7">
        <v>298675.15528846148</v>
      </c>
      <c r="F19" s="7">
        <v>276108.58799999999</v>
      </c>
      <c r="G19" s="8">
        <f>Tabla1[[#This Row],[Ingresos]]-Tabla1[[#This Row],[Gastos]]</f>
        <v>22566.567288461491</v>
      </c>
      <c r="H19" s="13">
        <f>Tabla1[[#This Row],[Beneficio]]/Tabla1[[#This Row],[Ingresos]]</f>
        <v>7.5555555555555404E-2</v>
      </c>
    </row>
    <row r="20" spans="1:8" x14ac:dyDescent="0.35">
      <c r="A20" s="2">
        <v>43111</v>
      </c>
      <c r="B20" t="s">
        <v>9</v>
      </c>
      <c r="C20" t="s">
        <v>11</v>
      </c>
      <c r="D20" t="s">
        <v>19</v>
      </c>
      <c r="E20" s="7">
        <v>659369.51639999996</v>
      </c>
      <c r="F20" s="7">
        <v>590832.89999999991</v>
      </c>
      <c r="G20" s="8">
        <f>Tabla1[[#This Row],[Ingresos]]-Tabla1[[#This Row],[Gastos]]</f>
        <v>68536.616400000057</v>
      </c>
      <c r="H20" s="13">
        <f>Tabla1[[#This Row],[Beneficio]]/Tabla1[[#This Row],[Ingresos]]</f>
        <v>0.1039426523297492</v>
      </c>
    </row>
    <row r="21" spans="1:8" x14ac:dyDescent="0.35">
      <c r="A21" s="2">
        <v>43113</v>
      </c>
      <c r="B21" t="s">
        <v>9</v>
      </c>
      <c r="C21" t="s">
        <v>12</v>
      </c>
      <c r="D21" t="s">
        <v>16</v>
      </c>
      <c r="E21" s="7">
        <v>13804.26923076923</v>
      </c>
      <c r="F21" s="7">
        <v>5981.8499999999995</v>
      </c>
      <c r="G21" s="8">
        <f>Tabla1[[#This Row],[Ingresos]]-Tabla1[[#This Row],[Gastos]]</f>
        <v>7822.419230769231</v>
      </c>
      <c r="H21" s="13">
        <f>Tabla1[[#This Row],[Beneficio]]/Tabla1[[#This Row],[Ingresos]]</f>
        <v>0.56666666666666665</v>
      </c>
    </row>
    <row r="22" spans="1:8" x14ac:dyDescent="0.35">
      <c r="A22" s="2">
        <v>43114</v>
      </c>
      <c r="B22" t="s">
        <v>7</v>
      </c>
      <c r="C22" t="s">
        <v>11</v>
      </c>
      <c r="D22" t="s">
        <v>15</v>
      </c>
      <c r="E22" s="7">
        <v>39447.135000000002</v>
      </c>
      <c r="F22" s="7">
        <v>26298.09</v>
      </c>
      <c r="G22" s="8">
        <f>Tabla1[[#This Row],[Ingresos]]-Tabla1[[#This Row],[Gastos]]</f>
        <v>13149.045000000002</v>
      </c>
      <c r="H22" s="13">
        <f>Tabla1[[#This Row],[Beneficio]]/Tabla1[[#This Row],[Ingresos]]</f>
        <v>0.33333333333333337</v>
      </c>
    </row>
    <row r="23" spans="1:8" x14ac:dyDescent="0.35">
      <c r="A23" s="2">
        <v>43114</v>
      </c>
      <c r="B23" t="s">
        <v>6</v>
      </c>
      <c r="C23" t="s">
        <v>43</v>
      </c>
      <c r="D23" t="s">
        <v>17</v>
      </c>
      <c r="E23" s="7">
        <v>9320.9759999999987</v>
      </c>
      <c r="F23" s="7">
        <v>4660.4879999999994</v>
      </c>
      <c r="G23" s="8">
        <f>Tabla1[[#This Row],[Ingresos]]-Tabla1[[#This Row],[Gastos]]</f>
        <v>4660.4879999999994</v>
      </c>
      <c r="H23" s="13">
        <f>Tabla1[[#This Row],[Beneficio]]/Tabla1[[#This Row],[Ingresos]]</f>
        <v>0.5</v>
      </c>
    </row>
    <row r="24" spans="1:8" x14ac:dyDescent="0.35">
      <c r="A24" s="2">
        <v>43115</v>
      </c>
      <c r="B24" t="s">
        <v>7</v>
      </c>
      <c r="C24" t="s">
        <v>12</v>
      </c>
      <c r="D24" t="s">
        <v>18</v>
      </c>
      <c r="E24" s="7">
        <v>24026.203152000006</v>
      </c>
      <c r="F24" s="7">
        <v>18576.961199999998</v>
      </c>
      <c r="G24" s="8">
        <f>Tabla1[[#This Row],[Ingresos]]-Tabla1[[#This Row],[Gastos]]</f>
        <v>5449.2419520000076</v>
      </c>
      <c r="H24" s="13">
        <f>Tabla1[[#This Row],[Beneficio]]/Tabla1[[#This Row],[Ingresos]]</f>
        <v>0.22680412371134048</v>
      </c>
    </row>
    <row r="25" spans="1:8" x14ac:dyDescent="0.35">
      <c r="A25" s="2">
        <v>43116</v>
      </c>
      <c r="B25" t="s">
        <v>8</v>
      </c>
      <c r="C25" t="s">
        <v>10</v>
      </c>
      <c r="D25" t="s">
        <v>17</v>
      </c>
      <c r="E25" s="7">
        <v>10264.220977500001</v>
      </c>
      <c r="F25" s="7">
        <v>7883.4262499999995</v>
      </c>
      <c r="G25" s="8">
        <f>Tabla1[[#This Row],[Ingresos]]-Tabla1[[#This Row],[Gastos]]</f>
        <v>2380.7947275000015</v>
      </c>
      <c r="H25" s="13">
        <f>Tabla1[[#This Row],[Beneficio]]/Tabla1[[#This Row],[Ingresos]]</f>
        <v>0.23195084485407078</v>
      </c>
    </row>
    <row r="26" spans="1:8" x14ac:dyDescent="0.35">
      <c r="A26" s="2">
        <v>43117</v>
      </c>
      <c r="B26" t="s">
        <v>8</v>
      </c>
      <c r="C26" t="s">
        <v>12</v>
      </c>
      <c r="D26" t="s">
        <v>16</v>
      </c>
      <c r="E26" s="7">
        <v>39670.918269230766</v>
      </c>
      <c r="F26" s="7">
        <v>33679.799999999996</v>
      </c>
      <c r="G26" s="8">
        <f>Tabla1[[#This Row],[Ingresos]]-Tabla1[[#This Row],[Gastos]]</f>
        <v>5991.1182692307702</v>
      </c>
      <c r="H26" s="13">
        <f>Tabla1[[#This Row],[Beneficio]]/Tabla1[[#This Row],[Ingresos]]</f>
        <v>0.15102040816326534</v>
      </c>
    </row>
    <row r="27" spans="1:8" x14ac:dyDescent="0.35">
      <c r="A27" s="2">
        <v>43117</v>
      </c>
      <c r="B27" t="s">
        <v>9</v>
      </c>
      <c r="C27" t="s">
        <v>13</v>
      </c>
      <c r="D27" t="s">
        <v>19</v>
      </c>
      <c r="E27" s="7">
        <v>113857.37999999999</v>
      </c>
      <c r="F27" s="7">
        <v>104265</v>
      </c>
      <c r="G27" s="8">
        <f>Tabla1[[#This Row],[Ingresos]]-Tabla1[[#This Row],[Gastos]]</f>
        <v>9592.3799999999901</v>
      </c>
      <c r="H27" s="13">
        <f>Tabla1[[#This Row],[Beneficio]]/Tabla1[[#This Row],[Ingresos]]</f>
        <v>8.4249084249084172E-2</v>
      </c>
    </row>
    <row r="28" spans="1:8" x14ac:dyDescent="0.35">
      <c r="A28" s="2">
        <v>43118</v>
      </c>
      <c r="B28" t="s">
        <v>5</v>
      </c>
      <c r="C28" t="s">
        <v>43</v>
      </c>
      <c r="D28" t="s">
        <v>15</v>
      </c>
      <c r="E28" s="7">
        <v>10594.583999999999</v>
      </c>
      <c r="F28" s="7">
        <v>8026.2</v>
      </c>
      <c r="G28" s="8">
        <f>Tabla1[[#This Row],[Ingresos]]-Tabla1[[#This Row],[Gastos]]</f>
        <v>2568.3839999999991</v>
      </c>
      <c r="H28" s="13">
        <f>Tabla1[[#This Row],[Beneficio]]/Tabla1[[#This Row],[Ingresos]]</f>
        <v>0.24242424242424238</v>
      </c>
    </row>
    <row r="29" spans="1:8" x14ac:dyDescent="0.35">
      <c r="A29" s="2">
        <v>43119</v>
      </c>
      <c r="B29" t="s">
        <v>5</v>
      </c>
      <c r="C29" t="s">
        <v>13</v>
      </c>
      <c r="D29" t="s">
        <v>18</v>
      </c>
      <c r="E29" s="7">
        <v>13172.079060000002</v>
      </c>
      <c r="F29" s="7">
        <v>11622.422700000001</v>
      </c>
      <c r="G29" s="8">
        <f>Tabla1[[#This Row],[Ingresos]]-Tabla1[[#This Row],[Gastos]]</f>
        <v>1549.6563600000009</v>
      </c>
      <c r="H29" s="13">
        <f>Tabla1[[#This Row],[Beneficio]]/Tabla1[[#This Row],[Ingresos]]</f>
        <v>0.11764705882352947</v>
      </c>
    </row>
    <row r="30" spans="1:8" x14ac:dyDescent="0.35">
      <c r="A30" s="2">
        <v>43120</v>
      </c>
      <c r="B30" t="s">
        <v>6</v>
      </c>
      <c r="C30" t="s">
        <v>12</v>
      </c>
      <c r="D30" t="s">
        <v>15</v>
      </c>
      <c r="E30" s="7">
        <v>17370.612000000001</v>
      </c>
      <c r="F30" s="7">
        <v>11580.408000000001</v>
      </c>
      <c r="G30" s="8">
        <f>Tabla1[[#This Row],[Ingresos]]-Tabla1[[#This Row],[Gastos]]</f>
        <v>5790.2039999999997</v>
      </c>
      <c r="H30" s="13">
        <f>Tabla1[[#This Row],[Beneficio]]/Tabla1[[#This Row],[Ingresos]]</f>
        <v>0.33333333333333331</v>
      </c>
    </row>
    <row r="31" spans="1:8" x14ac:dyDescent="0.35">
      <c r="A31" s="2">
        <v>43120</v>
      </c>
      <c r="B31" t="s">
        <v>6</v>
      </c>
      <c r="C31" t="s">
        <v>10</v>
      </c>
      <c r="D31" t="s">
        <v>16</v>
      </c>
      <c r="E31" s="7">
        <v>192471.05769230769</v>
      </c>
      <c r="F31" s="7">
        <v>123914.7</v>
      </c>
      <c r="G31" s="8">
        <f>Tabla1[[#This Row],[Ingresos]]-Tabla1[[#This Row],[Gastos]]</f>
        <v>68556.357692307691</v>
      </c>
      <c r="H31" s="13">
        <f>Tabla1[[#This Row],[Beneficio]]/Tabla1[[#This Row],[Ingresos]]</f>
        <v>0.35619047619047617</v>
      </c>
    </row>
    <row r="32" spans="1:8" x14ac:dyDescent="0.35">
      <c r="A32" s="2">
        <v>43120</v>
      </c>
      <c r="B32" t="s">
        <v>8</v>
      </c>
      <c r="C32" t="s">
        <v>43</v>
      </c>
      <c r="D32" t="s">
        <v>18</v>
      </c>
      <c r="E32" s="7">
        <v>51667.890309000002</v>
      </c>
      <c r="F32" s="7">
        <v>41667.653474999992</v>
      </c>
      <c r="G32" s="8">
        <f>Tabla1[[#This Row],[Ingresos]]-Tabla1[[#This Row],[Gastos]]</f>
        <v>10000.23683400001</v>
      </c>
      <c r="H32" s="13">
        <f>Tabla1[[#This Row],[Beneficio]]/Tabla1[[#This Row],[Ingresos]]</f>
        <v>0.19354838709677438</v>
      </c>
    </row>
    <row r="33" spans="1:8" x14ac:dyDescent="0.35">
      <c r="A33" s="2">
        <v>43121</v>
      </c>
      <c r="B33" t="s">
        <v>6</v>
      </c>
      <c r="C33" t="s">
        <v>11</v>
      </c>
      <c r="D33" t="s">
        <v>16</v>
      </c>
      <c r="E33" s="7">
        <v>95113.682091346156</v>
      </c>
      <c r="F33" s="7">
        <v>93099.510000000009</v>
      </c>
      <c r="G33" s="8">
        <f>Tabla1[[#This Row],[Ingresos]]-Tabla1[[#This Row],[Gastos]]</f>
        <v>2014.1720913461468</v>
      </c>
      <c r="H33" s="13">
        <f>Tabla1[[#This Row],[Beneficio]]/Tabla1[[#This Row],[Ingresos]]</f>
        <v>2.117647058823522E-2</v>
      </c>
    </row>
    <row r="34" spans="1:8" x14ac:dyDescent="0.35">
      <c r="A34" s="2">
        <v>43121</v>
      </c>
      <c r="B34" t="s">
        <v>6</v>
      </c>
      <c r="C34" t="s">
        <v>11</v>
      </c>
      <c r="D34" t="s">
        <v>18</v>
      </c>
      <c r="E34" s="7">
        <v>6105.6449999999995</v>
      </c>
      <c r="F34" s="7">
        <v>5032.125</v>
      </c>
      <c r="G34" s="8">
        <f>Tabla1[[#This Row],[Ingresos]]-Tabla1[[#This Row],[Gastos]]</f>
        <v>1073.5199999999995</v>
      </c>
      <c r="H34" s="13">
        <f>Tabla1[[#This Row],[Beneficio]]/Tabla1[[#This Row],[Ingresos]]</f>
        <v>0.17582417582417575</v>
      </c>
    </row>
    <row r="35" spans="1:8" x14ac:dyDescent="0.35">
      <c r="A35" s="2">
        <v>43122</v>
      </c>
      <c r="B35" t="s">
        <v>6</v>
      </c>
      <c r="C35" t="s">
        <v>10</v>
      </c>
      <c r="D35" t="s">
        <v>15</v>
      </c>
      <c r="E35" s="7">
        <v>4257.0501749999994</v>
      </c>
      <c r="F35" s="7">
        <v>3153.3705</v>
      </c>
      <c r="G35" s="8">
        <f>Tabla1[[#This Row],[Ingresos]]-Tabla1[[#This Row],[Gastos]]</f>
        <v>1103.6796749999994</v>
      </c>
      <c r="H35" s="13">
        <f>Tabla1[[#This Row],[Beneficio]]/Tabla1[[#This Row],[Ingresos]]</f>
        <v>0.25925925925925913</v>
      </c>
    </row>
    <row r="36" spans="1:8" x14ac:dyDescent="0.35">
      <c r="A36" s="2">
        <v>43123</v>
      </c>
      <c r="B36" t="s">
        <v>7</v>
      </c>
      <c r="C36" t="s">
        <v>12</v>
      </c>
      <c r="D36" t="s">
        <v>18</v>
      </c>
      <c r="E36" s="7">
        <v>1348.3259999999998</v>
      </c>
      <c r="F36" s="7">
        <v>1162.3499999999999</v>
      </c>
      <c r="G36" s="8">
        <f>Tabla1[[#This Row],[Ingresos]]-Tabla1[[#This Row],[Gastos]]</f>
        <v>185.97599999999989</v>
      </c>
      <c r="H36" s="13">
        <f>Tabla1[[#This Row],[Beneficio]]/Tabla1[[#This Row],[Ingresos]]</f>
        <v>0.13793103448275856</v>
      </c>
    </row>
    <row r="37" spans="1:8" x14ac:dyDescent="0.35">
      <c r="A37" s="2">
        <v>43124</v>
      </c>
      <c r="B37" t="s">
        <v>7</v>
      </c>
      <c r="C37" t="s">
        <v>13</v>
      </c>
      <c r="D37" t="s">
        <v>17</v>
      </c>
      <c r="E37" s="7">
        <v>19310.451929999999</v>
      </c>
      <c r="F37" s="7">
        <v>10848.568500000001</v>
      </c>
      <c r="G37" s="8">
        <f>Tabla1[[#This Row],[Ingresos]]-Tabla1[[#This Row],[Gastos]]</f>
        <v>8461.883429999998</v>
      </c>
      <c r="H37" s="13">
        <f>Tabla1[[#This Row],[Beneficio]]/Tabla1[[#This Row],[Ingresos]]</f>
        <v>0.43820224719101114</v>
      </c>
    </row>
    <row r="38" spans="1:8" x14ac:dyDescent="0.35">
      <c r="A38" s="2">
        <v>43124</v>
      </c>
      <c r="B38" t="s">
        <v>5</v>
      </c>
      <c r="C38" t="s">
        <v>10</v>
      </c>
      <c r="D38" t="s">
        <v>18</v>
      </c>
      <c r="E38" s="7">
        <v>16835.132664000001</v>
      </c>
      <c r="F38" s="7">
        <v>13432.286699999999</v>
      </c>
      <c r="G38" s="8">
        <f>Tabla1[[#This Row],[Ingresos]]-Tabla1[[#This Row],[Gastos]]</f>
        <v>3402.8459640000019</v>
      </c>
      <c r="H38" s="13">
        <f>Tabla1[[#This Row],[Beneficio]]/Tabla1[[#This Row],[Ingresos]]</f>
        <v>0.20212765957446818</v>
      </c>
    </row>
    <row r="39" spans="1:8" x14ac:dyDescent="0.35">
      <c r="A39" s="2">
        <v>43124</v>
      </c>
      <c r="B39" t="s">
        <v>7</v>
      </c>
      <c r="C39" t="s">
        <v>11</v>
      </c>
      <c r="D39" t="s">
        <v>18</v>
      </c>
      <c r="E39" s="7">
        <v>14724.604440000001</v>
      </c>
      <c r="F39" s="7">
        <v>11874.681</v>
      </c>
      <c r="G39" s="8">
        <f>Tabla1[[#This Row],[Ingresos]]-Tabla1[[#This Row],[Gastos]]</f>
        <v>2849.9234400000005</v>
      </c>
      <c r="H39" s="13">
        <f>Tabla1[[#This Row],[Beneficio]]/Tabla1[[#This Row],[Ingresos]]</f>
        <v>0.19354838709677422</v>
      </c>
    </row>
    <row r="40" spans="1:8" x14ac:dyDescent="0.35">
      <c r="A40" s="2">
        <v>43126</v>
      </c>
      <c r="B40" t="s">
        <v>5</v>
      </c>
      <c r="C40" t="s">
        <v>12</v>
      </c>
      <c r="D40" t="s">
        <v>19</v>
      </c>
      <c r="E40" s="7">
        <v>206756.55</v>
      </c>
      <c r="F40" s="7">
        <v>202702.5</v>
      </c>
      <c r="G40" s="8">
        <f>Tabla1[[#This Row],[Ingresos]]-Tabla1[[#This Row],[Gastos]]</f>
        <v>4054.0499999999884</v>
      </c>
      <c r="H40" s="13">
        <f>Tabla1[[#This Row],[Beneficio]]/Tabla1[[#This Row],[Ingresos]]</f>
        <v>1.9607843137254846E-2</v>
      </c>
    </row>
    <row r="41" spans="1:8" x14ac:dyDescent="0.35">
      <c r="A41" s="2">
        <v>43127</v>
      </c>
      <c r="B41" t="s">
        <v>5</v>
      </c>
      <c r="C41" t="s">
        <v>43</v>
      </c>
      <c r="D41" t="s">
        <v>17</v>
      </c>
      <c r="E41" s="7">
        <v>32297.023079999995</v>
      </c>
      <c r="F41" s="7">
        <v>18777.339</v>
      </c>
      <c r="G41" s="8">
        <f>Tabla1[[#This Row],[Ingresos]]-Tabla1[[#This Row],[Gastos]]</f>
        <v>13519.684079999995</v>
      </c>
      <c r="H41" s="13">
        <f>Tabla1[[#This Row],[Beneficio]]/Tabla1[[#This Row],[Ingresos]]</f>
        <v>0.41860465116279061</v>
      </c>
    </row>
    <row r="42" spans="1:8" x14ac:dyDescent="0.35">
      <c r="A42" s="2">
        <v>43128</v>
      </c>
      <c r="B42" t="s">
        <v>6</v>
      </c>
      <c r="C42" t="s">
        <v>11</v>
      </c>
      <c r="D42" t="s">
        <v>17</v>
      </c>
      <c r="E42" s="7">
        <v>140394.44475</v>
      </c>
      <c r="F42" s="7">
        <v>119877.02999999998</v>
      </c>
      <c r="G42" s="8">
        <f>Tabla1[[#This Row],[Ingresos]]-Tabla1[[#This Row],[Gastos]]</f>
        <v>20517.414750000011</v>
      </c>
      <c r="H42" s="13">
        <f>Tabla1[[#This Row],[Beneficio]]/Tabla1[[#This Row],[Ingresos]]</f>
        <v>0.14614121510673242</v>
      </c>
    </row>
    <row r="43" spans="1:8" x14ac:dyDescent="0.35">
      <c r="A43" s="2">
        <v>43128</v>
      </c>
      <c r="B43" t="s">
        <v>7</v>
      </c>
      <c r="C43" t="s">
        <v>11</v>
      </c>
      <c r="D43" t="s">
        <v>17</v>
      </c>
      <c r="E43" s="7">
        <v>41499.875340000006</v>
      </c>
      <c r="F43" s="7">
        <v>24127.834499999997</v>
      </c>
      <c r="G43" s="8">
        <f>Tabla1[[#This Row],[Ingresos]]-Tabla1[[#This Row],[Gastos]]</f>
        <v>17372.040840000009</v>
      </c>
      <c r="H43" s="13">
        <f>Tabla1[[#This Row],[Beneficio]]/Tabla1[[#This Row],[Ingresos]]</f>
        <v>0.41860465116279083</v>
      </c>
    </row>
    <row r="44" spans="1:8" x14ac:dyDescent="0.35">
      <c r="A44" s="2">
        <v>43129</v>
      </c>
      <c r="B44" t="s">
        <v>8</v>
      </c>
      <c r="C44" t="s">
        <v>13</v>
      </c>
      <c r="D44" t="s">
        <v>17</v>
      </c>
      <c r="E44" s="7">
        <v>252454.86</v>
      </c>
      <c r="F44" s="7">
        <v>215560.8</v>
      </c>
      <c r="G44" s="8">
        <f>Tabla1[[#This Row],[Ingresos]]-Tabla1[[#This Row],[Gastos]]</f>
        <v>36894.06</v>
      </c>
      <c r="H44" s="13">
        <f>Tabla1[[#This Row],[Beneficio]]/Tabla1[[#This Row],[Ingresos]]</f>
        <v>0.14614121510673234</v>
      </c>
    </row>
    <row r="45" spans="1:8" x14ac:dyDescent="0.35">
      <c r="A45" s="2">
        <v>43129</v>
      </c>
      <c r="B45" t="s">
        <v>9</v>
      </c>
      <c r="C45" t="s">
        <v>10</v>
      </c>
      <c r="D45" t="s">
        <v>19</v>
      </c>
      <c r="E45" s="7">
        <v>191677.18499999997</v>
      </c>
      <c r="F45" s="7">
        <v>171753.75</v>
      </c>
      <c r="G45" s="8">
        <f>Tabla1[[#This Row],[Ingresos]]-Tabla1[[#This Row],[Gastos]]</f>
        <v>19923.434999999969</v>
      </c>
      <c r="H45" s="13">
        <f>Tabla1[[#This Row],[Beneficio]]/Tabla1[[#This Row],[Ingresos]]</f>
        <v>0.10394265232974896</v>
      </c>
    </row>
    <row r="46" spans="1:8" x14ac:dyDescent="0.35">
      <c r="A46" s="2">
        <v>43130</v>
      </c>
      <c r="B46" t="s">
        <v>5</v>
      </c>
      <c r="C46" t="s">
        <v>43</v>
      </c>
      <c r="D46" t="s">
        <v>16</v>
      </c>
      <c r="E46" s="7">
        <v>108898.67423076923</v>
      </c>
      <c r="F46" s="7">
        <v>105353.136</v>
      </c>
      <c r="G46" s="8">
        <f>Tabla1[[#This Row],[Ingresos]]-Tabla1[[#This Row],[Gastos]]</f>
        <v>3545.5382307692344</v>
      </c>
      <c r="H46" s="13">
        <f>Tabla1[[#This Row],[Beneficio]]/Tabla1[[#This Row],[Ingresos]]</f>
        <v>3.2558139534883755E-2</v>
      </c>
    </row>
    <row r="47" spans="1:8" x14ac:dyDescent="0.35">
      <c r="A47" s="2">
        <v>43130</v>
      </c>
      <c r="B47" t="s">
        <v>8</v>
      </c>
      <c r="C47" t="s">
        <v>43</v>
      </c>
      <c r="D47" t="s">
        <v>17</v>
      </c>
      <c r="E47" s="7">
        <v>974475.75959999987</v>
      </c>
      <c r="F47" s="7">
        <v>832064.68799999997</v>
      </c>
      <c r="G47" s="8">
        <f>Tabla1[[#This Row],[Ingresos]]-Tabla1[[#This Row],[Gastos]]</f>
        <v>142411.07159999991</v>
      </c>
      <c r="H47" s="13">
        <f>Tabla1[[#This Row],[Beneficio]]/Tabla1[[#This Row],[Ingresos]]</f>
        <v>0.14614121510673228</v>
      </c>
    </row>
    <row r="48" spans="1:8" x14ac:dyDescent="0.35">
      <c r="A48" s="2">
        <v>43131</v>
      </c>
      <c r="B48" t="s">
        <v>5</v>
      </c>
      <c r="C48" t="s">
        <v>10</v>
      </c>
      <c r="D48" t="s">
        <v>15</v>
      </c>
      <c r="E48" s="7">
        <v>5898.9262499999995</v>
      </c>
      <c r="F48" s="7">
        <v>3932.6175000000003</v>
      </c>
      <c r="G48" s="8">
        <f>Tabla1[[#This Row],[Ingresos]]-Tabla1[[#This Row],[Gastos]]</f>
        <v>1966.3087499999992</v>
      </c>
      <c r="H48" s="13">
        <f>Tabla1[[#This Row],[Beneficio]]/Tabla1[[#This Row],[Ingresos]]</f>
        <v>0.3333333333333332</v>
      </c>
    </row>
    <row r="49" spans="1:8" x14ac:dyDescent="0.35">
      <c r="A49" s="2">
        <v>43131</v>
      </c>
      <c r="B49" t="s">
        <v>5</v>
      </c>
      <c r="C49" t="s">
        <v>43</v>
      </c>
      <c r="D49" t="s">
        <v>15</v>
      </c>
      <c r="E49" s="7">
        <v>34822.574324999994</v>
      </c>
      <c r="F49" s="7">
        <v>26683.965</v>
      </c>
      <c r="G49" s="8">
        <f>Tabla1[[#This Row],[Ingresos]]-Tabla1[[#This Row],[Gastos]]</f>
        <v>8138.609324999994</v>
      </c>
      <c r="H49" s="13">
        <f>Tabla1[[#This Row],[Beneficio]]/Tabla1[[#This Row],[Ingresos]]</f>
        <v>0.2337164750957853</v>
      </c>
    </row>
    <row r="50" spans="1:8" x14ac:dyDescent="0.35">
      <c r="A50" s="2">
        <v>43131</v>
      </c>
      <c r="B50" t="s">
        <v>6</v>
      </c>
      <c r="C50" t="s">
        <v>13</v>
      </c>
      <c r="D50" t="s">
        <v>15</v>
      </c>
      <c r="E50" s="7">
        <v>25330.071060000002</v>
      </c>
      <c r="F50" s="7">
        <v>19635.714</v>
      </c>
      <c r="G50" s="8">
        <f>Tabla1[[#This Row],[Ingresos]]-Tabla1[[#This Row],[Gastos]]</f>
        <v>5694.3570600000021</v>
      </c>
      <c r="H50" s="13">
        <f>Tabla1[[#This Row],[Beneficio]]/Tabla1[[#This Row],[Ingresos]]</f>
        <v>0.22480620155038766</v>
      </c>
    </row>
    <row r="51" spans="1:8" x14ac:dyDescent="0.35">
      <c r="A51" s="2">
        <v>43131</v>
      </c>
      <c r="B51" t="s">
        <v>8</v>
      </c>
      <c r="C51" t="s">
        <v>43</v>
      </c>
      <c r="D51" t="s">
        <v>17</v>
      </c>
      <c r="E51" s="7">
        <v>23530.405500000001</v>
      </c>
      <c r="F51" s="7">
        <v>12129.074999999999</v>
      </c>
      <c r="G51" s="8">
        <f>Tabla1[[#This Row],[Ingresos]]-Tabla1[[#This Row],[Gastos]]</f>
        <v>11401.330500000002</v>
      </c>
      <c r="H51" s="13">
        <f>Tabla1[[#This Row],[Beneficio]]/Tabla1[[#This Row],[Ingresos]]</f>
        <v>0.48453608247422686</v>
      </c>
    </row>
    <row r="52" spans="1:8" x14ac:dyDescent="0.35">
      <c r="A52" s="2">
        <v>43131</v>
      </c>
      <c r="B52" t="s">
        <v>9</v>
      </c>
      <c r="C52" t="s">
        <v>10</v>
      </c>
      <c r="D52" t="s">
        <v>17</v>
      </c>
      <c r="E52" s="7">
        <v>5171.8715999999995</v>
      </c>
      <c r="F52" s="7">
        <v>4246.2</v>
      </c>
      <c r="G52" s="8">
        <f>Tabla1[[#This Row],[Ingresos]]-Tabla1[[#This Row],[Gastos]]</f>
        <v>925.67159999999967</v>
      </c>
      <c r="H52" s="13">
        <f>Tabla1[[#This Row],[Beneficio]]/Tabla1[[#This Row],[Ingresos]]</f>
        <v>0.17898193760262721</v>
      </c>
    </row>
    <row r="53" spans="1:8" x14ac:dyDescent="0.35">
      <c r="A53" s="2">
        <v>43132</v>
      </c>
      <c r="B53" t="s">
        <v>9</v>
      </c>
      <c r="C53" t="s">
        <v>11</v>
      </c>
      <c r="D53" t="s">
        <v>17</v>
      </c>
      <c r="E53" s="7">
        <v>2907.9981000000002</v>
      </c>
      <c r="F53" s="7">
        <v>2209.7249999999999</v>
      </c>
      <c r="G53" s="8">
        <f>Tabla1[[#This Row],[Ingresos]]-Tabla1[[#This Row],[Gastos]]</f>
        <v>698.27310000000034</v>
      </c>
      <c r="H53" s="13">
        <f>Tabla1[[#This Row],[Beneficio]]/Tabla1[[#This Row],[Ingresos]]</f>
        <v>0.24012158054711255</v>
      </c>
    </row>
    <row r="54" spans="1:8" x14ac:dyDescent="0.35">
      <c r="A54" s="2">
        <v>43132</v>
      </c>
      <c r="B54" t="s">
        <v>5</v>
      </c>
      <c r="C54" t="s">
        <v>13</v>
      </c>
      <c r="D54" t="s">
        <v>17</v>
      </c>
      <c r="E54" s="7">
        <v>287456.34645000001</v>
      </c>
      <c r="F54" s="7">
        <v>234658.24200000003</v>
      </c>
      <c r="G54" s="8">
        <f>Tabla1[[#This Row],[Ingresos]]-Tabla1[[#This Row],[Gastos]]</f>
        <v>52798.104449999984</v>
      </c>
      <c r="H54" s="13">
        <f>Tabla1[[#This Row],[Beneficio]]/Tabla1[[#This Row],[Ingresos]]</f>
        <v>0.18367346938775503</v>
      </c>
    </row>
    <row r="55" spans="1:8" x14ac:dyDescent="0.35">
      <c r="A55" s="2">
        <v>43134</v>
      </c>
      <c r="B55" t="s">
        <v>6</v>
      </c>
      <c r="C55" t="s">
        <v>12</v>
      </c>
      <c r="D55" t="s">
        <v>16</v>
      </c>
      <c r="E55" s="7">
        <v>34674.230769230766</v>
      </c>
      <c r="F55" s="7">
        <v>30050.999999999996</v>
      </c>
      <c r="G55" s="8">
        <f>Tabla1[[#This Row],[Ingresos]]-Tabla1[[#This Row],[Gastos]]</f>
        <v>4623.2307692307695</v>
      </c>
      <c r="H55" s="13">
        <f>Tabla1[[#This Row],[Beneficio]]/Tabla1[[#This Row],[Ingresos]]</f>
        <v>0.13333333333333336</v>
      </c>
    </row>
    <row r="56" spans="1:8" x14ac:dyDescent="0.35">
      <c r="A56" s="2">
        <v>43134</v>
      </c>
      <c r="B56" t="s">
        <v>5</v>
      </c>
      <c r="C56" t="s">
        <v>12</v>
      </c>
      <c r="D56" t="s">
        <v>18</v>
      </c>
      <c r="E56" s="7">
        <v>5021.4087</v>
      </c>
      <c r="F56" s="7">
        <v>3882.5324999999998</v>
      </c>
      <c r="G56" s="8">
        <f>Tabla1[[#This Row],[Ingresos]]-Tabla1[[#This Row],[Gastos]]</f>
        <v>1138.8762000000002</v>
      </c>
      <c r="H56" s="13">
        <f>Tabla1[[#This Row],[Beneficio]]/Tabla1[[#This Row],[Ingresos]]</f>
        <v>0.22680412371134023</v>
      </c>
    </row>
    <row r="57" spans="1:8" x14ac:dyDescent="0.35">
      <c r="A57" s="2">
        <v>43136</v>
      </c>
      <c r="B57" t="s">
        <v>5</v>
      </c>
      <c r="C57" t="s">
        <v>12</v>
      </c>
      <c r="D57" t="s">
        <v>17</v>
      </c>
      <c r="E57" s="7">
        <v>28644.6888</v>
      </c>
      <c r="F57" s="7">
        <v>15076.152</v>
      </c>
      <c r="G57" s="8">
        <f>Tabla1[[#This Row],[Ingresos]]-Tabla1[[#This Row],[Gastos]]</f>
        <v>13568.5368</v>
      </c>
      <c r="H57" s="13">
        <f>Tabla1[[#This Row],[Beneficio]]/Tabla1[[#This Row],[Ingresos]]</f>
        <v>0.47368421052631576</v>
      </c>
    </row>
    <row r="58" spans="1:8" x14ac:dyDescent="0.35">
      <c r="A58" s="2">
        <v>43136</v>
      </c>
      <c r="B58" t="s">
        <v>6</v>
      </c>
      <c r="C58" t="s">
        <v>43</v>
      </c>
      <c r="D58" t="s">
        <v>17</v>
      </c>
      <c r="E58" s="7">
        <v>209736.95399999997</v>
      </c>
      <c r="F58" s="7">
        <v>169352.82</v>
      </c>
      <c r="G58" s="8">
        <f>Tabla1[[#This Row],[Ingresos]]-Tabla1[[#This Row],[Gastos]]</f>
        <v>40384.133999999962</v>
      </c>
      <c r="H58" s="13">
        <f>Tabla1[[#This Row],[Beneficio]]/Tabla1[[#This Row],[Ingresos]]</f>
        <v>0.19254658385093151</v>
      </c>
    </row>
    <row r="59" spans="1:8" x14ac:dyDescent="0.35">
      <c r="A59" s="2">
        <v>43137</v>
      </c>
      <c r="B59" t="s">
        <v>8</v>
      </c>
      <c r="C59" t="s">
        <v>11</v>
      </c>
      <c r="D59" t="s">
        <v>15</v>
      </c>
      <c r="E59" s="7">
        <v>20946.491999999998</v>
      </c>
      <c r="F59" s="7">
        <v>13964.328</v>
      </c>
      <c r="G59" s="8">
        <f>Tabla1[[#This Row],[Ingresos]]-Tabla1[[#This Row],[Gastos]]</f>
        <v>6982.1639999999989</v>
      </c>
      <c r="H59" s="13">
        <f>Tabla1[[#This Row],[Beneficio]]/Tabla1[[#This Row],[Ingresos]]</f>
        <v>0.33333333333333331</v>
      </c>
    </row>
    <row r="60" spans="1:8" x14ac:dyDescent="0.35">
      <c r="A60" s="2">
        <v>43139</v>
      </c>
      <c r="B60" t="s">
        <v>8</v>
      </c>
      <c r="C60" t="s">
        <v>43</v>
      </c>
      <c r="D60" t="s">
        <v>16</v>
      </c>
      <c r="E60" s="7">
        <v>108184.76307692307</v>
      </c>
      <c r="F60" s="7">
        <v>102283.77600000001</v>
      </c>
      <c r="G60" s="8">
        <f>Tabla1[[#This Row],[Ingresos]]-Tabla1[[#This Row],[Gastos]]</f>
        <v>5900.987076923062</v>
      </c>
      <c r="H60" s="13">
        <f>Tabla1[[#This Row],[Beneficio]]/Tabla1[[#This Row],[Ingresos]]</f>
        <v>5.4545454545454411E-2</v>
      </c>
    </row>
    <row r="61" spans="1:8" x14ac:dyDescent="0.35">
      <c r="A61" s="2">
        <v>43139</v>
      </c>
      <c r="B61" t="s">
        <v>5</v>
      </c>
      <c r="C61" t="s">
        <v>43</v>
      </c>
      <c r="D61" t="s">
        <v>17</v>
      </c>
      <c r="E61" s="7">
        <v>365148</v>
      </c>
      <c r="F61" s="7">
        <v>282555</v>
      </c>
      <c r="G61" s="8">
        <f>Tabla1[[#This Row],[Ingresos]]-Tabla1[[#This Row],[Gastos]]</f>
        <v>82593</v>
      </c>
      <c r="H61" s="13">
        <f>Tabla1[[#This Row],[Beneficio]]/Tabla1[[#This Row],[Ingresos]]</f>
        <v>0.22619047619047619</v>
      </c>
    </row>
    <row r="62" spans="1:8" x14ac:dyDescent="0.35">
      <c r="A62" s="2">
        <v>43139</v>
      </c>
      <c r="B62" t="s">
        <v>9</v>
      </c>
      <c r="C62" t="s">
        <v>12</v>
      </c>
      <c r="D62" t="s">
        <v>17</v>
      </c>
      <c r="E62" s="7">
        <v>216187.39485000001</v>
      </c>
      <c r="F62" s="7">
        <v>174561.25049999999</v>
      </c>
      <c r="G62" s="8">
        <f>Tabla1[[#This Row],[Ingresos]]-Tabla1[[#This Row],[Gastos]]</f>
        <v>41626.144350000017</v>
      </c>
      <c r="H62" s="13">
        <f>Tabla1[[#This Row],[Beneficio]]/Tabla1[[#This Row],[Ingresos]]</f>
        <v>0.19254658385093174</v>
      </c>
    </row>
    <row r="63" spans="1:8" x14ac:dyDescent="0.35">
      <c r="A63" s="2">
        <v>43139</v>
      </c>
      <c r="B63" t="s">
        <v>7</v>
      </c>
      <c r="C63" t="s">
        <v>12</v>
      </c>
      <c r="D63" t="s">
        <v>19</v>
      </c>
      <c r="E63" s="7">
        <v>214170.07499999998</v>
      </c>
      <c r="F63" s="7">
        <v>205143.75</v>
      </c>
      <c r="G63" s="8">
        <f>Tabla1[[#This Row],[Ingresos]]-Tabla1[[#This Row],[Gastos]]</f>
        <v>9026.3249999999825</v>
      </c>
      <c r="H63" s="13">
        <f>Tabla1[[#This Row],[Beneficio]]/Tabla1[[#This Row],[Ingresos]]</f>
        <v>4.2145593869731719E-2</v>
      </c>
    </row>
    <row r="64" spans="1:8" x14ac:dyDescent="0.35">
      <c r="A64" s="2">
        <v>43139</v>
      </c>
      <c r="B64" t="s">
        <v>8</v>
      </c>
      <c r="C64" t="s">
        <v>12</v>
      </c>
      <c r="D64" t="s">
        <v>18</v>
      </c>
      <c r="E64" s="7">
        <v>8729.7209999999995</v>
      </c>
      <c r="F64" s="7">
        <v>6891.8850000000002</v>
      </c>
      <c r="G64" s="8">
        <f>Tabla1[[#This Row],[Ingresos]]-Tabla1[[#This Row],[Gastos]]</f>
        <v>1837.8359999999993</v>
      </c>
      <c r="H64" s="13">
        <f>Tabla1[[#This Row],[Beneficio]]/Tabla1[[#This Row],[Ingresos]]</f>
        <v>0.21052631578947362</v>
      </c>
    </row>
    <row r="65" spans="1:8" x14ac:dyDescent="0.35">
      <c r="A65" s="2">
        <v>43140</v>
      </c>
      <c r="B65" t="s">
        <v>9</v>
      </c>
      <c r="C65" t="s">
        <v>10</v>
      </c>
      <c r="D65" t="s">
        <v>15</v>
      </c>
      <c r="E65" s="7">
        <v>14953.778043749999</v>
      </c>
      <c r="F65" s="7">
        <v>11458.83375</v>
      </c>
      <c r="G65" s="8">
        <f>Tabla1[[#This Row],[Ingresos]]-Tabla1[[#This Row],[Gastos]]</f>
        <v>3494.9442937499989</v>
      </c>
      <c r="H65" s="13">
        <f>Tabla1[[#This Row],[Beneficio]]/Tabla1[[#This Row],[Ingresos]]</f>
        <v>0.23371647509578539</v>
      </c>
    </row>
    <row r="66" spans="1:8" x14ac:dyDescent="0.35">
      <c r="A66" s="2">
        <v>43140</v>
      </c>
      <c r="B66" t="s">
        <v>7</v>
      </c>
      <c r="C66" t="s">
        <v>43</v>
      </c>
      <c r="D66" t="s">
        <v>18</v>
      </c>
      <c r="E66" s="7">
        <v>4216.3480799999998</v>
      </c>
      <c r="F66" s="7">
        <v>3226.797</v>
      </c>
      <c r="G66" s="8">
        <f>Tabla1[[#This Row],[Ingresos]]-Tabla1[[#This Row],[Gastos]]</f>
        <v>989.55107999999973</v>
      </c>
      <c r="H66" s="13">
        <f>Tabla1[[#This Row],[Beneficio]]/Tabla1[[#This Row],[Ingresos]]</f>
        <v>0.23469387755102036</v>
      </c>
    </row>
    <row r="67" spans="1:8" x14ac:dyDescent="0.35">
      <c r="A67" s="2">
        <v>43141</v>
      </c>
      <c r="B67" t="s">
        <v>6</v>
      </c>
      <c r="C67" t="s">
        <v>43</v>
      </c>
      <c r="D67" t="s">
        <v>17</v>
      </c>
      <c r="E67" s="7">
        <v>7917.3360000000002</v>
      </c>
      <c r="F67" s="7">
        <v>4302.8999999999996</v>
      </c>
      <c r="G67" s="8">
        <f>Tabla1[[#This Row],[Ingresos]]-Tabla1[[#This Row],[Gastos]]</f>
        <v>3614.4360000000006</v>
      </c>
      <c r="H67" s="13">
        <f>Tabla1[[#This Row],[Beneficio]]/Tabla1[[#This Row],[Ingresos]]</f>
        <v>0.45652173913043487</v>
      </c>
    </row>
    <row r="68" spans="1:8" x14ac:dyDescent="0.35">
      <c r="A68" s="2">
        <v>43142</v>
      </c>
      <c r="B68" t="s">
        <v>5</v>
      </c>
      <c r="C68" t="s">
        <v>12</v>
      </c>
      <c r="D68" t="s">
        <v>15</v>
      </c>
      <c r="E68" s="7">
        <v>5114.3399999999992</v>
      </c>
      <c r="F68" s="7">
        <v>3409.56</v>
      </c>
      <c r="G68" s="8">
        <f>Tabla1[[#This Row],[Ingresos]]-Tabla1[[#This Row],[Gastos]]</f>
        <v>1704.7799999999993</v>
      </c>
      <c r="H68" s="13">
        <f>Tabla1[[#This Row],[Beneficio]]/Tabla1[[#This Row],[Ingresos]]</f>
        <v>0.33333333333333326</v>
      </c>
    </row>
    <row r="69" spans="1:8" x14ac:dyDescent="0.35">
      <c r="A69" s="2">
        <v>43142</v>
      </c>
      <c r="B69" t="s">
        <v>6</v>
      </c>
      <c r="C69" t="s">
        <v>43</v>
      </c>
      <c r="D69" t="s">
        <v>17</v>
      </c>
      <c r="E69" s="7">
        <v>419344.69499999995</v>
      </c>
      <c r="F69" s="7">
        <v>346125.77999999997</v>
      </c>
      <c r="G69" s="8">
        <f>Tabla1[[#This Row],[Ingresos]]-Tabla1[[#This Row],[Gastos]]</f>
        <v>73218.914999999979</v>
      </c>
      <c r="H69" s="13">
        <f>Tabla1[[#This Row],[Beneficio]]/Tabla1[[#This Row],[Ingresos]]</f>
        <v>0.17460317460317457</v>
      </c>
    </row>
    <row r="70" spans="1:8" x14ac:dyDescent="0.35">
      <c r="A70" s="2">
        <v>43143</v>
      </c>
      <c r="B70" t="s">
        <v>7</v>
      </c>
      <c r="C70" t="s">
        <v>43</v>
      </c>
      <c r="D70" t="s">
        <v>15</v>
      </c>
      <c r="E70" s="7">
        <v>10356.538499999999</v>
      </c>
      <c r="F70" s="7">
        <v>6974.0999999999995</v>
      </c>
      <c r="G70" s="8">
        <f>Tabla1[[#This Row],[Ingresos]]-Tabla1[[#This Row],[Gastos]]</f>
        <v>3382.4384999999993</v>
      </c>
      <c r="H70" s="13">
        <f>Tabla1[[#This Row],[Beneficio]]/Tabla1[[#This Row],[Ingresos]]</f>
        <v>0.32659932659932656</v>
      </c>
    </row>
    <row r="71" spans="1:8" x14ac:dyDescent="0.35">
      <c r="A71" s="2">
        <v>43143</v>
      </c>
      <c r="B71" t="s">
        <v>9</v>
      </c>
      <c r="C71" t="s">
        <v>10</v>
      </c>
      <c r="D71" t="s">
        <v>18</v>
      </c>
      <c r="E71" s="7">
        <v>7684.5131999999994</v>
      </c>
      <c r="F71" s="7">
        <v>6333.39</v>
      </c>
      <c r="G71" s="8">
        <f>Tabla1[[#This Row],[Ingresos]]-Tabla1[[#This Row],[Gastos]]</f>
        <v>1351.1231999999991</v>
      </c>
      <c r="H71" s="13">
        <f>Tabla1[[#This Row],[Beneficio]]/Tabla1[[#This Row],[Ingresos]]</f>
        <v>0.17582417582417573</v>
      </c>
    </row>
    <row r="72" spans="1:8" x14ac:dyDescent="0.35">
      <c r="A72" s="2">
        <v>43144</v>
      </c>
      <c r="B72" t="s">
        <v>9</v>
      </c>
      <c r="C72" t="s">
        <v>13</v>
      </c>
      <c r="D72" t="s">
        <v>16</v>
      </c>
      <c r="E72" s="7">
        <v>255716.99999999997</v>
      </c>
      <c r="F72" s="7">
        <v>212756.54399999997</v>
      </c>
      <c r="G72" s="8">
        <f>Tabla1[[#This Row],[Ingresos]]-Tabla1[[#This Row],[Gastos]]</f>
        <v>42960.456000000006</v>
      </c>
      <c r="H72" s="13">
        <f>Tabla1[[#This Row],[Beneficio]]/Tabla1[[#This Row],[Ingresos]]</f>
        <v>0.16800000000000004</v>
      </c>
    </row>
    <row r="73" spans="1:8" x14ac:dyDescent="0.35">
      <c r="A73" s="2">
        <v>43144</v>
      </c>
      <c r="B73" t="s">
        <v>9</v>
      </c>
      <c r="C73" t="s">
        <v>13</v>
      </c>
      <c r="D73" t="s">
        <v>19</v>
      </c>
      <c r="E73" s="7">
        <v>101347.69680000002</v>
      </c>
      <c r="F73" s="7">
        <v>91800.45</v>
      </c>
      <c r="G73" s="8">
        <f>Tabla1[[#This Row],[Ingresos]]-Tabla1[[#This Row],[Gastos]]</f>
        <v>9547.2468000000226</v>
      </c>
      <c r="H73" s="13">
        <f>Tabla1[[#This Row],[Beneficio]]/Tabla1[[#This Row],[Ingresos]]</f>
        <v>9.4202898550724848E-2</v>
      </c>
    </row>
    <row r="74" spans="1:8" x14ac:dyDescent="0.35">
      <c r="A74" s="2">
        <v>43145</v>
      </c>
      <c r="B74" t="s">
        <v>9</v>
      </c>
      <c r="C74" t="s">
        <v>10</v>
      </c>
      <c r="D74" t="s">
        <v>16</v>
      </c>
      <c r="E74" s="7">
        <v>78442.26923076922</v>
      </c>
      <c r="F74" s="7">
        <v>65923.199999999997</v>
      </c>
      <c r="G74" s="8">
        <f>Tabla1[[#This Row],[Ingresos]]-Tabla1[[#This Row],[Gastos]]</f>
        <v>12519.069230769222</v>
      </c>
      <c r="H74" s="13">
        <f>Tabla1[[#This Row],[Beneficio]]/Tabla1[[#This Row],[Ingresos]]</f>
        <v>0.15959595959595951</v>
      </c>
    </row>
    <row r="75" spans="1:8" x14ac:dyDescent="0.35">
      <c r="A75" s="2">
        <v>43145</v>
      </c>
      <c r="B75" t="s">
        <v>5</v>
      </c>
      <c r="C75" t="s">
        <v>43</v>
      </c>
      <c r="D75" t="s">
        <v>17</v>
      </c>
      <c r="E75" s="7">
        <v>5552.7408089999999</v>
      </c>
      <c r="F75" s="7">
        <v>4558.9004999999997</v>
      </c>
      <c r="G75" s="8">
        <f>Tabla1[[#This Row],[Ingresos]]-Tabla1[[#This Row],[Gastos]]</f>
        <v>993.84030900000016</v>
      </c>
      <c r="H75" s="13">
        <f>Tabla1[[#This Row],[Beneficio]]/Tabla1[[#This Row],[Ingresos]]</f>
        <v>0.17898193760262729</v>
      </c>
    </row>
    <row r="76" spans="1:8" x14ac:dyDescent="0.35">
      <c r="A76" s="2">
        <v>43146</v>
      </c>
      <c r="B76" t="s">
        <v>5</v>
      </c>
      <c r="C76" t="s">
        <v>13</v>
      </c>
      <c r="D76" t="s">
        <v>17</v>
      </c>
      <c r="E76" s="7">
        <v>29837.46024</v>
      </c>
      <c r="F76" s="7">
        <v>15223.193999999998</v>
      </c>
      <c r="G76" s="8">
        <f>Tabla1[[#This Row],[Ingresos]]-Tabla1[[#This Row],[Gastos]]</f>
        <v>14614.266240000003</v>
      </c>
      <c r="H76" s="13">
        <f>Tabla1[[#This Row],[Beneficio]]/Tabla1[[#This Row],[Ingresos]]</f>
        <v>0.48979591836734704</v>
      </c>
    </row>
    <row r="77" spans="1:8" x14ac:dyDescent="0.35">
      <c r="A77" s="2">
        <v>43146</v>
      </c>
      <c r="B77" t="s">
        <v>9</v>
      </c>
      <c r="C77" t="s">
        <v>10</v>
      </c>
      <c r="D77" t="s">
        <v>18</v>
      </c>
      <c r="E77" s="7">
        <v>8914.035312</v>
      </c>
      <c r="F77" s="7">
        <v>7346.7323999999999</v>
      </c>
      <c r="G77" s="8">
        <f>Tabla1[[#This Row],[Ingresos]]-Tabla1[[#This Row],[Gastos]]</f>
        <v>1567.3029120000001</v>
      </c>
      <c r="H77" s="13">
        <f>Tabla1[[#This Row],[Beneficio]]/Tabla1[[#This Row],[Ingresos]]</f>
        <v>0.17582417582417584</v>
      </c>
    </row>
    <row r="78" spans="1:8" x14ac:dyDescent="0.35">
      <c r="A78" s="2">
        <v>43147</v>
      </c>
      <c r="B78" t="s">
        <v>7</v>
      </c>
      <c r="C78" t="s">
        <v>10</v>
      </c>
      <c r="D78" t="s">
        <v>17</v>
      </c>
      <c r="E78" s="7">
        <v>640.08459899999991</v>
      </c>
      <c r="F78" s="7">
        <v>461.82150000000007</v>
      </c>
      <c r="G78" s="8">
        <f>Tabla1[[#This Row],[Ingresos]]-Tabla1[[#This Row],[Gastos]]</f>
        <v>178.26309899999984</v>
      </c>
      <c r="H78" s="13">
        <f>Tabla1[[#This Row],[Beneficio]]/Tabla1[[#This Row],[Ingresos]]</f>
        <v>0.2784992784992783</v>
      </c>
    </row>
    <row r="79" spans="1:8" x14ac:dyDescent="0.35">
      <c r="A79" s="2">
        <v>43147</v>
      </c>
      <c r="B79" t="s">
        <v>9</v>
      </c>
      <c r="C79" t="s">
        <v>10</v>
      </c>
      <c r="D79" t="s">
        <v>17</v>
      </c>
      <c r="E79" s="7">
        <v>18567.019044000001</v>
      </c>
      <c r="F79" s="7">
        <v>15243.858</v>
      </c>
      <c r="G79" s="8">
        <f>Tabla1[[#This Row],[Ingresos]]-Tabla1[[#This Row],[Gastos]]</f>
        <v>3323.1610440000004</v>
      </c>
      <c r="H79" s="13">
        <f>Tabla1[[#This Row],[Beneficio]]/Tabla1[[#This Row],[Ingresos]]</f>
        <v>0.17898193760262726</v>
      </c>
    </row>
    <row r="80" spans="1:8" x14ac:dyDescent="0.35">
      <c r="A80" s="2">
        <v>43147</v>
      </c>
      <c r="B80" t="s">
        <v>5</v>
      </c>
      <c r="C80" t="s">
        <v>13</v>
      </c>
      <c r="D80" t="s">
        <v>18</v>
      </c>
      <c r="E80" s="7">
        <v>7443.2357999999995</v>
      </c>
      <c r="F80" s="7">
        <v>5638.8149999999996</v>
      </c>
      <c r="G80" s="8">
        <f>Tabla1[[#This Row],[Ingresos]]-Tabla1[[#This Row],[Gastos]]</f>
        <v>1804.4207999999999</v>
      </c>
      <c r="H80" s="13">
        <f>Tabla1[[#This Row],[Beneficio]]/Tabla1[[#This Row],[Ingresos]]</f>
        <v>0.24242424242424243</v>
      </c>
    </row>
    <row r="81" spans="1:8" x14ac:dyDescent="0.35">
      <c r="A81" s="2">
        <v>43148</v>
      </c>
      <c r="B81" t="s">
        <v>8</v>
      </c>
      <c r="C81" t="s">
        <v>43</v>
      </c>
      <c r="D81" t="s">
        <v>17</v>
      </c>
      <c r="E81" s="7">
        <v>1063.554408</v>
      </c>
      <c r="F81" s="7">
        <v>825.74099999999999</v>
      </c>
      <c r="G81" s="8">
        <f>Tabla1[[#This Row],[Ingresos]]-Tabla1[[#This Row],[Gastos]]</f>
        <v>237.81340799999998</v>
      </c>
      <c r="H81" s="13">
        <f>Tabla1[[#This Row],[Beneficio]]/Tabla1[[#This Row],[Ingresos]]</f>
        <v>0.22360248447204967</v>
      </c>
    </row>
    <row r="82" spans="1:8" x14ac:dyDescent="0.35">
      <c r="A82" s="2">
        <v>43148</v>
      </c>
      <c r="B82" t="s">
        <v>9</v>
      </c>
      <c r="C82" t="s">
        <v>10</v>
      </c>
      <c r="D82" t="s">
        <v>17</v>
      </c>
      <c r="E82" s="7">
        <v>40819.252319999992</v>
      </c>
      <c r="F82" s="7">
        <v>23192.757000000001</v>
      </c>
      <c r="G82" s="8">
        <f>Tabla1[[#This Row],[Ingresos]]-Tabla1[[#This Row],[Gastos]]</f>
        <v>17626.495319999991</v>
      </c>
      <c r="H82" s="13">
        <f>Tabla1[[#This Row],[Beneficio]]/Tabla1[[#This Row],[Ingresos]]</f>
        <v>0.43181818181818166</v>
      </c>
    </row>
    <row r="83" spans="1:8" x14ac:dyDescent="0.35">
      <c r="A83" s="2">
        <v>43148</v>
      </c>
      <c r="B83" t="s">
        <v>9</v>
      </c>
      <c r="C83" t="s">
        <v>10</v>
      </c>
      <c r="D83" t="s">
        <v>19</v>
      </c>
      <c r="E83" s="7">
        <v>150864.26984999998</v>
      </c>
      <c r="F83" s="7">
        <v>135183.03750000001</v>
      </c>
      <c r="G83" s="8">
        <f>Tabla1[[#This Row],[Ingresos]]-Tabla1[[#This Row],[Gastos]]</f>
        <v>15681.232349999977</v>
      </c>
      <c r="H83" s="13">
        <f>Tabla1[[#This Row],[Beneficio]]/Tabla1[[#This Row],[Ingresos]]</f>
        <v>0.10394265232974896</v>
      </c>
    </row>
    <row r="84" spans="1:8" x14ac:dyDescent="0.35">
      <c r="A84" s="2">
        <v>43151</v>
      </c>
      <c r="B84" t="s">
        <v>6</v>
      </c>
      <c r="C84" t="s">
        <v>43</v>
      </c>
      <c r="D84" t="s">
        <v>15</v>
      </c>
      <c r="E84" s="7">
        <v>1129.6529999999998</v>
      </c>
      <c r="F84" s="7">
        <v>875.69999999999993</v>
      </c>
      <c r="G84" s="8">
        <f>Tabla1[[#This Row],[Ingresos]]-Tabla1[[#This Row],[Gastos]]</f>
        <v>253.95299999999986</v>
      </c>
      <c r="H84" s="13">
        <f>Tabla1[[#This Row],[Beneficio]]/Tabla1[[#This Row],[Ingresos]]</f>
        <v>0.22480620155038752</v>
      </c>
    </row>
    <row r="85" spans="1:8" x14ac:dyDescent="0.35">
      <c r="A85" s="2">
        <v>43151</v>
      </c>
      <c r="B85" t="s">
        <v>7</v>
      </c>
      <c r="C85" t="s">
        <v>12</v>
      </c>
      <c r="D85" t="s">
        <v>17</v>
      </c>
      <c r="E85" s="7">
        <v>33123.875399999997</v>
      </c>
      <c r="F85" s="7">
        <v>19036.71</v>
      </c>
      <c r="G85" s="8">
        <f>Tabla1[[#This Row],[Ingresos]]-Tabla1[[#This Row],[Gastos]]</f>
        <v>14087.165399999998</v>
      </c>
      <c r="H85" s="13">
        <f>Tabla1[[#This Row],[Beneficio]]/Tabla1[[#This Row],[Ingresos]]</f>
        <v>0.42528735632183906</v>
      </c>
    </row>
    <row r="86" spans="1:8" x14ac:dyDescent="0.35">
      <c r="A86" s="2">
        <v>43151</v>
      </c>
      <c r="B86" t="s">
        <v>7</v>
      </c>
      <c r="C86" t="s">
        <v>11</v>
      </c>
      <c r="D86" t="s">
        <v>19</v>
      </c>
      <c r="E86" s="7">
        <v>65097.27</v>
      </c>
      <c r="F86" s="7">
        <v>63078.749999999993</v>
      </c>
      <c r="G86" s="8">
        <f>Tabla1[[#This Row],[Ingresos]]-Tabla1[[#This Row],[Gastos]]</f>
        <v>2018.5200000000041</v>
      </c>
      <c r="H86" s="13">
        <f>Tabla1[[#This Row],[Beneficio]]/Tabla1[[#This Row],[Ingresos]]</f>
        <v>3.1007751937984562E-2</v>
      </c>
    </row>
    <row r="87" spans="1:8" x14ac:dyDescent="0.35">
      <c r="A87" s="2">
        <v>43151</v>
      </c>
      <c r="B87" t="s">
        <v>9</v>
      </c>
      <c r="C87" t="s">
        <v>43</v>
      </c>
      <c r="D87" t="s">
        <v>18</v>
      </c>
      <c r="E87" s="7">
        <v>43480.060469999997</v>
      </c>
      <c r="F87" s="7">
        <v>32939.439750000005</v>
      </c>
      <c r="G87" s="8">
        <f>Tabla1[[#This Row],[Ingresos]]-Tabla1[[#This Row],[Gastos]]</f>
        <v>10540.620719999992</v>
      </c>
      <c r="H87" s="13">
        <f>Tabla1[[#This Row],[Beneficio]]/Tabla1[[#This Row],[Ingresos]]</f>
        <v>0.24242424242424226</v>
      </c>
    </row>
    <row r="88" spans="1:8" x14ac:dyDescent="0.35">
      <c r="A88" s="2">
        <v>43152</v>
      </c>
      <c r="B88" t="s">
        <v>5</v>
      </c>
      <c r="C88" t="s">
        <v>43</v>
      </c>
      <c r="D88" t="s">
        <v>19</v>
      </c>
      <c r="E88" s="7">
        <v>88967.024999999994</v>
      </c>
      <c r="F88" s="7">
        <v>78041.25</v>
      </c>
      <c r="G88" s="8">
        <f>Tabla1[[#This Row],[Ingresos]]-Tabla1[[#This Row],[Gastos]]</f>
        <v>10925.774999999994</v>
      </c>
      <c r="H88" s="13">
        <f>Tabla1[[#This Row],[Beneficio]]/Tabla1[[#This Row],[Ingresos]]</f>
        <v>0.12280701754385959</v>
      </c>
    </row>
    <row r="89" spans="1:8" x14ac:dyDescent="0.35">
      <c r="A89" s="2">
        <v>43155</v>
      </c>
      <c r="B89" t="s">
        <v>6</v>
      </c>
      <c r="C89" t="s">
        <v>12</v>
      </c>
      <c r="D89" t="s">
        <v>15</v>
      </c>
      <c r="E89" s="7">
        <v>4939.0613999999996</v>
      </c>
      <c r="F89" s="7">
        <v>3466.0080000000003</v>
      </c>
      <c r="G89" s="8">
        <f>Tabla1[[#This Row],[Ingresos]]-Tabla1[[#This Row],[Gastos]]</f>
        <v>1473.0533999999993</v>
      </c>
      <c r="H89" s="13">
        <f>Tabla1[[#This Row],[Beneficio]]/Tabla1[[#This Row],[Ingresos]]</f>
        <v>0.29824561403508759</v>
      </c>
    </row>
    <row r="90" spans="1:8" x14ac:dyDescent="0.35">
      <c r="A90" s="2">
        <v>43155</v>
      </c>
      <c r="B90" t="s">
        <v>8</v>
      </c>
      <c r="C90" t="s">
        <v>43</v>
      </c>
      <c r="D90" t="s">
        <v>15</v>
      </c>
      <c r="E90" s="7">
        <v>4376.1513599999998</v>
      </c>
      <c r="F90" s="7">
        <v>3278.0160000000001</v>
      </c>
      <c r="G90" s="8">
        <f>Tabla1[[#This Row],[Ingresos]]-Tabla1[[#This Row],[Gastos]]</f>
        <v>1098.1353599999998</v>
      </c>
      <c r="H90" s="13">
        <f>Tabla1[[#This Row],[Beneficio]]/Tabla1[[#This Row],[Ingresos]]</f>
        <v>0.25093632958801493</v>
      </c>
    </row>
    <row r="91" spans="1:8" x14ac:dyDescent="0.35">
      <c r="A91" s="2">
        <v>43155</v>
      </c>
      <c r="B91" t="s">
        <v>6</v>
      </c>
      <c r="C91" t="s">
        <v>10</v>
      </c>
      <c r="D91" t="s">
        <v>18</v>
      </c>
      <c r="E91" s="7">
        <v>2866.5252</v>
      </c>
      <c r="F91" s="7">
        <v>2171.61</v>
      </c>
      <c r="G91" s="8">
        <f>Tabla1[[#This Row],[Ingresos]]-Tabla1[[#This Row],[Gastos]]</f>
        <v>694.91519999999991</v>
      </c>
      <c r="H91" s="13">
        <f>Tabla1[[#This Row],[Beneficio]]/Tabla1[[#This Row],[Ingresos]]</f>
        <v>0.2424242424242424</v>
      </c>
    </row>
    <row r="92" spans="1:8" x14ac:dyDescent="0.35">
      <c r="A92" s="2">
        <v>43156</v>
      </c>
      <c r="B92" t="s">
        <v>7</v>
      </c>
      <c r="C92" t="s">
        <v>13</v>
      </c>
      <c r="D92" t="s">
        <v>16</v>
      </c>
      <c r="E92" s="7">
        <v>175937.37403846151</v>
      </c>
      <c r="F92" s="7">
        <v>114414.29999999999</v>
      </c>
      <c r="G92" s="8">
        <f>Tabla1[[#This Row],[Ingresos]]-Tabla1[[#This Row],[Gastos]]</f>
        <v>61523.07403846152</v>
      </c>
      <c r="H92" s="13">
        <f>Tabla1[[#This Row],[Beneficio]]/Tabla1[[#This Row],[Ingresos]]</f>
        <v>0.34968734968734966</v>
      </c>
    </row>
    <row r="93" spans="1:8" x14ac:dyDescent="0.35">
      <c r="A93" s="2">
        <v>43157</v>
      </c>
      <c r="B93" t="s">
        <v>5</v>
      </c>
      <c r="C93" t="s">
        <v>11</v>
      </c>
      <c r="D93" t="s">
        <v>17</v>
      </c>
      <c r="E93" s="7">
        <v>5578.2089999999998</v>
      </c>
      <c r="F93" s="7">
        <v>3064.95</v>
      </c>
      <c r="G93" s="8">
        <f>Tabla1[[#This Row],[Ingresos]]-Tabla1[[#This Row],[Gastos]]</f>
        <v>2513.259</v>
      </c>
      <c r="H93" s="13">
        <f>Tabla1[[#This Row],[Beneficio]]/Tabla1[[#This Row],[Ingresos]]</f>
        <v>0.45054945054945056</v>
      </c>
    </row>
    <row r="94" spans="1:8" x14ac:dyDescent="0.35">
      <c r="A94" s="2">
        <v>43159</v>
      </c>
      <c r="B94" t="s">
        <v>8</v>
      </c>
      <c r="C94" t="s">
        <v>43</v>
      </c>
      <c r="D94" t="s">
        <v>19</v>
      </c>
      <c r="E94" s="7">
        <v>267757.4718</v>
      </c>
      <c r="F94" s="7">
        <v>239926.05</v>
      </c>
      <c r="G94" s="8">
        <f>Tabla1[[#This Row],[Ingresos]]-Tabla1[[#This Row],[Gastos]]</f>
        <v>27831.421800000011</v>
      </c>
      <c r="H94" s="13">
        <f>Tabla1[[#This Row],[Beneficio]]/Tabla1[[#This Row],[Ingresos]]</f>
        <v>0.10394265232974914</v>
      </c>
    </row>
    <row r="95" spans="1:8" x14ac:dyDescent="0.35">
      <c r="A95" s="2">
        <v>43159</v>
      </c>
      <c r="B95" t="s">
        <v>5</v>
      </c>
      <c r="C95" t="s">
        <v>13</v>
      </c>
      <c r="D95" t="s">
        <v>18</v>
      </c>
      <c r="E95" s="7">
        <v>3447.36</v>
      </c>
      <c r="F95" s="7">
        <v>2585.52</v>
      </c>
      <c r="G95" s="8">
        <f>Tabla1[[#This Row],[Ingresos]]-Tabla1[[#This Row],[Gastos]]</f>
        <v>861.84000000000015</v>
      </c>
      <c r="H95" s="13">
        <f>Tabla1[[#This Row],[Beneficio]]/Tabla1[[#This Row],[Ingresos]]</f>
        <v>0.25000000000000006</v>
      </c>
    </row>
    <row r="96" spans="1:8" x14ac:dyDescent="0.35">
      <c r="A96" s="2">
        <v>43161</v>
      </c>
      <c r="B96" t="s">
        <v>9</v>
      </c>
      <c r="C96" t="s">
        <v>43</v>
      </c>
      <c r="D96" t="s">
        <v>17</v>
      </c>
      <c r="E96" s="7">
        <v>41619.815999999999</v>
      </c>
      <c r="F96" s="7">
        <v>22138.199999999997</v>
      </c>
      <c r="G96" s="8">
        <f>Tabla1[[#This Row],[Ingresos]]-Tabla1[[#This Row],[Gastos]]</f>
        <v>19481.616000000002</v>
      </c>
      <c r="H96" s="13">
        <f>Tabla1[[#This Row],[Beneficio]]/Tabla1[[#This Row],[Ingresos]]</f>
        <v>0.46808510638297879</v>
      </c>
    </row>
    <row r="97" spans="1:8" x14ac:dyDescent="0.35">
      <c r="A97" s="2">
        <v>43162</v>
      </c>
      <c r="B97" t="s">
        <v>8</v>
      </c>
      <c r="C97" t="s">
        <v>43</v>
      </c>
      <c r="D97" t="s">
        <v>17</v>
      </c>
      <c r="E97" s="7">
        <v>403590.44407500001</v>
      </c>
      <c r="F97" s="7">
        <v>329461.587</v>
      </c>
      <c r="G97" s="8">
        <f>Tabla1[[#This Row],[Ingresos]]-Tabla1[[#This Row],[Gastos]]</f>
        <v>74128.857075000007</v>
      </c>
      <c r="H97" s="13">
        <f>Tabla1[[#This Row],[Beneficio]]/Tabla1[[#This Row],[Ingresos]]</f>
        <v>0.18367346938775511</v>
      </c>
    </row>
    <row r="98" spans="1:8" x14ac:dyDescent="0.35">
      <c r="A98" s="2">
        <v>43163</v>
      </c>
      <c r="B98" t="s">
        <v>7</v>
      </c>
      <c r="C98" t="s">
        <v>10</v>
      </c>
      <c r="D98" t="s">
        <v>16</v>
      </c>
      <c r="E98" s="7">
        <v>29474.913461538461</v>
      </c>
      <c r="F98" s="7">
        <v>25023.599999999999</v>
      </c>
      <c r="G98" s="8">
        <f>Tabla1[[#This Row],[Ingresos]]-Tabla1[[#This Row],[Gastos]]</f>
        <v>4451.3134615384624</v>
      </c>
      <c r="H98" s="13">
        <f>Tabla1[[#This Row],[Beneficio]]/Tabla1[[#This Row],[Ingresos]]</f>
        <v>0.15102040816326534</v>
      </c>
    </row>
    <row r="99" spans="1:8" x14ac:dyDescent="0.35">
      <c r="A99" s="2">
        <v>43164</v>
      </c>
      <c r="B99" t="s">
        <v>8</v>
      </c>
      <c r="C99" t="s">
        <v>43</v>
      </c>
      <c r="D99" t="s">
        <v>15</v>
      </c>
      <c r="E99" s="7">
        <v>15055.2675</v>
      </c>
      <c r="F99" s="7">
        <v>11670.75</v>
      </c>
      <c r="G99" s="8">
        <f>Tabla1[[#This Row],[Ingresos]]-Tabla1[[#This Row],[Gastos]]</f>
        <v>3384.5174999999999</v>
      </c>
      <c r="H99" s="13">
        <f>Tabla1[[#This Row],[Beneficio]]/Tabla1[[#This Row],[Ingresos]]</f>
        <v>0.22480620155038758</v>
      </c>
    </row>
    <row r="100" spans="1:8" x14ac:dyDescent="0.35">
      <c r="A100" s="2">
        <v>43165</v>
      </c>
      <c r="B100" t="s">
        <v>8</v>
      </c>
      <c r="C100" t="s">
        <v>11</v>
      </c>
      <c r="D100" t="s">
        <v>18</v>
      </c>
      <c r="E100" s="7">
        <v>29244.328344000001</v>
      </c>
      <c r="F100" s="7">
        <v>23333.240699999998</v>
      </c>
      <c r="G100" s="8">
        <f>Tabla1[[#This Row],[Ingresos]]-Tabla1[[#This Row],[Gastos]]</f>
        <v>5911.0876440000029</v>
      </c>
      <c r="H100" s="13">
        <f>Tabla1[[#This Row],[Beneficio]]/Tabla1[[#This Row],[Ingresos]]</f>
        <v>0.20212765957446818</v>
      </c>
    </row>
    <row r="101" spans="1:8" x14ac:dyDescent="0.35">
      <c r="A101" s="2">
        <v>43167</v>
      </c>
      <c r="B101" t="s">
        <v>6</v>
      </c>
      <c r="C101" t="s">
        <v>10</v>
      </c>
      <c r="D101" t="s">
        <v>17</v>
      </c>
      <c r="E101" s="7">
        <v>5288.6925000000001</v>
      </c>
      <c r="F101" s="7">
        <v>4197.375</v>
      </c>
      <c r="G101" s="8">
        <f>Tabla1[[#This Row],[Ingresos]]-Tabla1[[#This Row],[Gastos]]</f>
        <v>1091.3175000000001</v>
      </c>
      <c r="H101" s="13">
        <f>Tabla1[[#This Row],[Beneficio]]/Tabla1[[#This Row],[Ingresos]]</f>
        <v>0.20634920634920637</v>
      </c>
    </row>
    <row r="102" spans="1:8" x14ac:dyDescent="0.35">
      <c r="A102" s="2">
        <v>43169</v>
      </c>
      <c r="B102" t="s">
        <v>6</v>
      </c>
      <c r="C102" t="s">
        <v>11</v>
      </c>
      <c r="D102" t="s">
        <v>17</v>
      </c>
      <c r="E102" s="7">
        <v>16467.53976</v>
      </c>
      <c r="F102" s="7">
        <v>8853.5159999999996</v>
      </c>
      <c r="G102" s="8">
        <f>Tabla1[[#This Row],[Ingresos]]-Tabla1[[#This Row],[Gastos]]</f>
        <v>7614.02376</v>
      </c>
      <c r="H102" s="13">
        <f>Tabla1[[#This Row],[Beneficio]]/Tabla1[[#This Row],[Ingresos]]</f>
        <v>0.4623655913978495</v>
      </c>
    </row>
    <row r="103" spans="1:8" x14ac:dyDescent="0.35">
      <c r="A103" s="2">
        <v>43170</v>
      </c>
      <c r="B103" t="s">
        <v>7</v>
      </c>
      <c r="C103" t="s">
        <v>12</v>
      </c>
      <c r="D103" t="s">
        <v>17</v>
      </c>
      <c r="E103" s="7">
        <v>3104.9046000000003</v>
      </c>
      <c r="F103" s="7">
        <v>2359.35</v>
      </c>
      <c r="G103" s="8">
        <f>Tabla1[[#This Row],[Ingresos]]-Tabla1[[#This Row],[Gastos]]</f>
        <v>745.55460000000039</v>
      </c>
      <c r="H103" s="13">
        <f>Tabla1[[#This Row],[Beneficio]]/Tabla1[[#This Row],[Ingresos]]</f>
        <v>0.24012158054711258</v>
      </c>
    </row>
    <row r="104" spans="1:8" x14ac:dyDescent="0.35">
      <c r="A104" s="2">
        <v>43171</v>
      </c>
      <c r="B104" t="s">
        <v>7</v>
      </c>
      <c r="C104" t="s">
        <v>10</v>
      </c>
      <c r="D104" t="s">
        <v>15</v>
      </c>
      <c r="E104" s="7">
        <v>12528.101250000002</v>
      </c>
      <c r="F104" s="7">
        <v>8791.65</v>
      </c>
      <c r="G104" s="8">
        <f>Tabla1[[#This Row],[Ingresos]]-Tabla1[[#This Row],[Gastos]]</f>
        <v>3736.4512500000019</v>
      </c>
      <c r="H104" s="13">
        <f>Tabla1[[#This Row],[Beneficio]]/Tabla1[[#This Row],[Ingresos]]</f>
        <v>0.29824561403508781</v>
      </c>
    </row>
    <row r="105" spans="1:8" x14ac:dyDescent="0.35">
      <c r="A105" s="2">
        <v>43171</v>
      </c>
      <c r="B105" t="s">
        <v>7</v>
      </c>
      <c r="C105" t="s">
        <v>10</v>
      </c>
      <c r="D105" t="s">
        <v>17</v>
      </c>
      <c r="E105" s="7">
        <v>920176.04700000002</v>
      </c>
      <c r="F105" s="7">
        <v>697509.54</v>
      </c>
      <c r="G105" s="8">
        <f>Tabla1[[#This Row],[Ingresos]]-Tabla1[[#This Row],[Gastos]]</f>
        <v>222666.50699999998</v>
      </c>
      <c r="H105" s="13">
        <f>Tabla1[[#This Row],[Beneficio]]/Tabla1[[#This Row],[Ingresos]]</f>
        <v>0.24198250728862972</v>
      </c>
    </row>
    <row r="106" spans="1:8" x14ac:dyDescent="0.35">
      <c r="A106" s="2">
        <v>43171</v>
      </c>
      <c r="B106" t="s">
        <v>8</v>
      </c>
      <c r="C106" t="s">
        <v>11</v>
      </c>
      <c r="D106" t="s">
        <v>19</v>
      </c>
      <c r="E106" s="7">
        <v>72167.759999999995</v>
      </c>
      <c r="F106" s="7">
        <v>69930</v>
      </c>
      <c r="G106" s="8">
        <f>Tabla1[[#This Row],[Ingresos]]-Tabla1[[#This Row],[Gastos]]</f>
        <v>2237.7599999999948</v>
      </c>
      <c r="H106" s="13">
        <f>Tabla1[[#This Row],[Beneficio]]/Tabla1[[#This Row],[Ingresos]]</f>
        <v>3.1007751937984426E-2</v>
      </c>
    </row>
    <row r="107" spans="1:8" x14ac:dyDescent="0.35">
      <c r="A107" s="2">
        <v>43171</v>
      </c>
      <c r="B107" t="s">
        <v>7</v>
      </c>
      <c r="C107" t="s">
        <v>43</v>
      </c>
      <c r="D107" t="s">
        <v>19</v>
      </c>
      <c r="E107" s="7">
        <v>43857.45</v>
      </c>
      <c r="F107" s="7">
        <v>42997.5</v>
      </c>
      <c r="G107" s="8">
        <f>Tabla1[[#This Row],[Ingresos]]-Tabla1[[#This Row],[Gastos]]</f>
        <v>859.94999999999709</v>
      </c>
      <c r="H107" s="13">
        <f>Tabla1[[#This Row],[Beneficio]]/Tabla1[[#This Row],[Ingresos]]</f>
        <v>1.9607843137254836E-2</v>
      </c>
    </row>
    <row r="108" spans="1:8" x14ac:dyDescent="0.35">
      <c r="A108" s="2">
        <v>43172</v>
      </c>
      <c r="B108" t="s">
        <v>8</v>
      </c>
      <c r="C108" t="s">
        <v>13</v>
      </c>
      <c r="D108" t="s">
        <v>17</v>
      </c>
      <c r="E108" s="7">
        <v>5305.0535999999993</v>
      </c>
      <c r="F108" s="7">
        <v>4306.0499999999993</v>
      </c>
      <c r="G108" s="8">
        <f>Tabla1[[#This Row],[Ingresos]]-Tabla1[[#This Row],[Gastos]]</f>
        <v>999.00360000000001</v>
      </c>
      <c r="H108" s="13">
        <f>Tabla1[[#This Row],[Beneficio]]/Tabla1[[#This Row],[Ingresos]]</f>
        <v>0.18831168831168835</v>
      </c>
    </row>
    <row r="109" spans="1:8" x14ac:dyDescent="0.35">
      <c r="A109" s="2">
        <v>43173</v>
      </c>
      <c r="B109" t="s">
        <v>8</v>
      </c>
      <c r="C109" t="s">
        <v>13</v>
      </c>
      <c r="D109" t="s">
        <v>16</v>
      </c>
      <c r="E109" s="7">
        <v>15674.278846153844</v>
      </c>
      <c r="F109" s="7">
        <v>13041</v>
      </c>
      <c r="G109" s="8">
        <f>Tabla1[[#This Row],[Ingresos]]-Tabla1[[#This Row],[Gastos]]</f>
        <v>2633.2788461538439</v>
      </c>
      <c r="H109" s="13">
        <f>Tabla1[[#This Row],[Beneficio]]/Tabla1[[#This Row],[Ingresos]]</f>
        <v>0.16799999999999987</v>
      </c>
    </row>
    <row r="110" spans="1:8" x14ac:dyDescent="0.35">
      <c r="A110" s="2">
        <v>43175</v>
      </c>
      <c r="B110" t="s">
        <v>8</v>
      </c>
      <c r="C110" t="s">
        <v>10</v>
      </c>
      <c r="D110" t="s">
        <v>16</v>
      </c>
      <c r="E110" s="7">
        <v>143286.12021634611</v>
      </c>
      <c r="F110" s="7">
        <v>137027.64600000001</v>
      </c>
      <c r="G110" s="8">
        <f>Tabla1[[#This Row],[Ingresos]]-Tabla1[[#This Row],[Gastos]]</f>
        <v>6258.4742163461051</v>
      </c>
      <c r="H110" s="13">
        <f>Tabla1[[#This Row],[Beneficio]]/Tabla1[[#This Row],[Ingresos]]</f>
        <v>4.3678160919539903E-2</v>
      </c>
    </row>
    <row r="111" spans="1:8" x14ac:dyDescent="0.35">
      <c r="A111" s="2">
        <v>43176</v>
      </c>
      <c r="B111" t="s">
        <v>8</v>
      </c>
      <c r="C111" t="s">
        <v>12</v>
      </c>
      <c r="D111" t="s">
        <v>17</v>
      </c>
      <c r="E111" s="7">
        <v>222264</v>
      </c>
      <c r="F111" s="7">
        <v>183456</v>
      </c>
      <c r="G111" s="8">
        <f>Tabla1[[#This Row],[Ingresos]]-Tabla1[[#This Row],[Gastos]]</f>
        <v>38808</v>
      </c>
      <c r="H111" s="13">
        <f>Tabla1[[#This Row],[Beneficio]]/Tabla1[[#This Row],[Ingresos]]</f>
        <v>0.17460317460317459</v>
      </c>
    </row>
    <row r="112" spans="1:8" x14ac:dyDescent="0.35">
      <c r="A112" s="2">
        <v>43177</v>
      </c>
      <c r="B112" t="s">
        <v>6</v>
      </c>
      <c r="C112" t="s">
        <v>43</v>
      </c>
      <c r="D112" t="s">
        <v>16</v>
      </c>
      <c r="E112" s="7">
        <v>34830.973557692305</v>
      </c>
      <c r="F112" s="7">
        <v>30504.6</v>
      </c>
      <c r="G112" s="8">
        <f>Tabla1[[#This Row],[Ingresos]]-Tabla1[[#This Row],[Gastos]]</f>
        <v>4326.3735576923063</v>
      </c>
      <c r="H112" s="13">
        <f>Tabla1[[#This Row],[Beneficio]]/Tabla1[[#This Row],[Ingresos]]</f>
        <v>0.12421052631578945</v>
      </c>
    </row>
    <row r="113" spans="1:8" x14ac:dyDescent="0.35">
      <c r="A113" s="2">
        <v>43177</v>
      </c>
      <c r="B113" t="s">
        <v>5</v>
      </c>
      <c r="C113" t="s">
        <v>43</v>
      </c>
      <c r="D113" t="s">
        <v>19</v>
      </c>
      <c r="E113" s="7">
        <v>271777.27499999997</v>
      </c>
      <c r="F113" s="7">
        <v>228768.75</v>
      </c>
      <c r="G113" s="8">
        <f>Tabla1[[#This Row],[Ingresos]]-Tabla1[[#This Row],[Gastos]]</f>
        <v>43008.524999999965</v>
      </c>
      <c r="H113" s="13">
        <f>Tabla1[[#This Row],[Beneficio]]/Tabla1[[#This Row],[Ingresos]]</f>
        <v>0.15824915824915814</v>
      </c>
    </row>
    <row r="114" spans="1:8" x14ac:dyDescent="0.35">
      <c r="A114" s="2">
        <v>43177</v>
      </c>
      <c r="B114" t="s">
        <v>9</v>
      </c>
      <c r="C114" t="s">
        <v>10</v>
      </c>
      <c r="D114" t="s">
        <v>19</v>
      </c>
      <c r="E114" s="7">
        <v>211839.13800000001</v>
      </c>
      <c r="F114" s="7">
        <v>196147.34999999998</v>
      </c>
      <c r="G114" s="8">
        <f>Tabla1[[#This Row],[Ingresos]]-Tabla1[[#This Row],[Gastos]]</f>
        <v>15691.78800000003</v>
      </c>
      <c r="H114" s="13">
        <f>Tabla1[[#This Row],[Beneficio]]/Tabla1[[#This Row],[Ingresos]]</f>
        <v>7.4074074074074209E-2</v>
      </c>
    </row>
    <row r="115" spans="1:8" x14ac:dyDescent="0.35">
      <c r="A115" s="2">
        <v>43178</v>
      </c>
      <c r="B115" t="s">
        <v>6</v>
      </c>
      <c r="C115" t="s">
        <v>10</v>
      </c>
      <c r="D115" t="s">
        <v>17</v>
      </c>
      <c r="E115" s="7">
        <v>2188.7447399999996</v>
      </c>
      <c r="F115" s="7">
        <v>1718.01</v>
      </c>
      <c r="G115" s="8">
        <f>Tabla1[[#This Row],[Ingresos]]-Tabla1[[#This Row],[Gastos]]</f>
        <v>470.73473999999965</v>
      </c>
      <c r="H115" s="13">
        <f>Tabla1[[#This Row],[Beneficio]]/Tabla1[[#This Row],[Ingresos]]</f>
        <v>0.2150706436420721</v>
      </c>
    </row>
    <row r="116" spans="1:8" x14ac:dyDescent="0.35">
      <c r="A116" s="2">
        <v>43179</v>
      </c>
      <c r="B116" t="s">
        <v>5</v>
      </c>
      <c r="C116" t="s">
        <v>10</v>
      </c>
      <c r="D116" t="s">
        <v>16</v>
      </c>
      <c r="E116" s="7">
        <v>140011.88149038461</v>
      </c>
      <c r="F116" s="7">
        <v>123925.41</v>
      </c>
      <c r="G116" s="8">
        <f>Tabla1[[#This Row],[Ingresos]]-Tabla1[[#This Row],[Gastos]]</f>
        <v>16086.471490384603</v>
      </c>
      <c r="H116" s="13">
        <f>Tabla1[[#This Row],[Beneficio]]/Tabla1[[#This Row],[Ingresos]]</f>
        <v>0.11489361702127651</v>
      </c>
    </row>
    <row r="117" spans="1:8" x14ac:dyDescent="0.35">
      <c r="A117" s="2">
        <v>43180</v>
      </c>
      <c r="B117" t="s">
        <v>9</v>
      </c>
      <c r="C117" t="s">
        <v>10</v>
      </c>
      <c r="D117" t="s">
        <v>16</v>
      </c>
      <c r="E117" s="7">
        <v>615262.31080528849</v>
      </c>
      <c r="F117" s="7">
        <v>527730.147</v>
      </c>
      <c r="G117" s="8">
        <f>Tabla1[[#This Row],[Ingresos]]-Tabla1[[#This Row],[Gastos]]</f>
        <v>87532.163805288495</v>
      </c>
      <c r="H117" s="13">
        <f>Tabla1[[#This Row],[Beneficio]]/Tabla1[[#This Row],[Ingresos]]</f>
        <v>0.14226804123711345</v>
      </c>
    </row>
    <row r="118" spans="1:8" x14ac:dyDescent="0.35">
      <c r="A118" s="2">
        <v>43181</v>
      </c>
      <c r="B118" t="s">
        <v>5</v>
      </c>
      <c r="C118" t="s">
        <v>43</v>
      </c>
      <c r="D118" t="s">
        <v>15</v>
      </c>
      <c r="E118" s="7">
        <v>2814.9659999999999</v>
      </c>
      <c r="F118" s="7">
        <v>2132.5499999999997</v>
      </c>
      <c r="G118" s="8">
        <f>Tabla1[[#This Row],[Ingresos]]-Tabla1[[#This Row],[Gastos]]</f>
        <v>682.41600000000017</v>
      </c>
      <c r="H118" s="13">
        <f>Tabla1[[#This Row],[Beneficio]]/Tabla1[[#This Row],[Ingresos]]</f>
        <v>0.24242424242424249</v>
      </c>
    </row>
    <row r="119" spans="1:8" x14ac:dyDescent="0.35">
      <c r="A119" s="2">
        <v>43181</v>
      </c>
      <c r="B119" t="s">
        <v>5</v>
      </c>
      <c r="C119" t="s">
        <v>13</v>
      </c>
      <c r="D119" t="s">
        <v>16</v>
      </c>
      <c r="E119" s="7">
        <v>32699.271634615379</v>
      </c>
      <c r="F119" s="7">
        <v>27480.6</v>
      </c>
      <c r="G119" s="8">
        <f>Tabla1[[#This Row],[Ingresos]]-Tabla1[[#This Row],[Gastos]]</f>
        <v>5218.6716346153808</v>
      </c>
      <c r="H119" s="13">
        <f>Tabla1[[#This Row],[Beneficio]]/Tabla1[[#This Row],[Ingresos]]</f>
        <v>0.15959595959595951</v>
      </c>
    </row>
    <row r="120" spans="1:8" x14ac:dyDescent="0.35">
      <c r="A120" s="2">
        <v>43181</v>
      </c>
      <c r="B120" t="s">
        <v>9</v>
      </c>
      <c r="C120" t="s">
        <v>10</v>
      </c>
      <c r="D120" t="s">
        <v>18</v>
      </c>
      <c r="E120" s="7">
        <v>24137.190000000002</v>
      </c>
      <c r="F120" s="7">
        <v>21049.875</v>
      </c>
      <c r="G120" s="8">
        <f>Tabla1[[#This Row],[Ingresos]]-Tabla1[[#This Row],[Gastos]]</f>
        <v>3087.3150000000023</v>
      </c>
      <c r="H120" s="13">
        <f>Tabla1[[#This Row],[Beneficio]]/Tabla1[[#This Row],[Ingresos]]</f>
        <v>0.12790697674418613</v>
      </c>
    </row>
    <row r="121" spans="1:8" x14ac:dyDescent="0.35">
      <c r="A121" s="2">
        <v>43182</v>
      </c>
      <c r="B121" t="s">
        <v>6</v>
      </c>
      <c r="C121" t="s">
        <v>13</v>
      </c>
      <c r="D121" t="s">
        <v>15</v>
      </c>
      <c r="E121" s="7">
        <v>36281.694487499997</v>
      </c>
      <c r="F121" s="7">
        <v>24935.872500000001</v>
      </c>
      <c r="G121" s="8">
        <f>Tabla1[[#This Row],[Ingresos]]-Tabla1[[#This Row],[Gastos]]</f>
        <v>11345.821987499996</v>
      </c>
      <c r="H121" s="13">
        <f>Tabla1[[#This Row],[Beneficio]]/Tabla1[[#This Row],[Ingresos]]</f>
        <v>0.31271477663230229</v>
      </c>
    </row>
    <row r="122" spans="1:8" x14ac:dyDescent="0.35">
      <c r="A122" s="2">
        <v>43182</v>
      </c>
      <c r="B122" t="s">
        <v>8</v>
      </c>
      <c r="C122" t="s">
        <v>13</v>
      </c>
      <c r="D122" t="s">
        <v>17</v>
      </c>
      <c r="E122" s="7">
        <v>60443.46</v>
      </c>
      <c r="F122" s="7">
        <v>51023.7</v>
      </c>
      <c r="G122" s="8">
        <f>Tabla1[[#This Row],[Ingresos]]-Tabla1[[#This Row],[Gastos]]</f>
        <v>9419.760000000002</v>
      </c>
      <c r="H122" s="13">
        <f>Tabla1[[#This Row],[Beneficio]]/Tabla1[[#This Row],[Ingresos]]</f>
        <v>0.15584415584415587</v>
      </c>
    </row>
    <row r="123" spans="1:8" x14ac:dyDescent="0.35">
      <c r="A123" s="2">
        <v>43183</v>
      </c>
      <c r="B123" t="s">
        <v>8</v>
      </c>
      <c r="C123" t="s">
        <v>13</v>
      </c>
      <c r="D123" t="s">
        <v>17</v>
      </c>
      <c r="E123" s="7">
        <v>128617.65</v>
      </c>
      <c r="F123" s="7">
        <v>100573.2</v>
      </c>
      <c r="G123" s="8">
        <f>Tabla1[[#This Row],[Ingresos]]-Tabla1[[#This Row],[Gastos]]</f>
        <v>28044.449999999997</v>
      </c>
      <c r="H123" s="13">
        <f>Tabla1[[#This Row],[Beneficio]]/Tabla1[[#This Row],[Ingresos]]</f>
        <v>0.21804511278195488</v>
      </c>
    </row>
    <row r="124" spans="1:8" x14ac:dyDescent="0.35">
      <c r="A124" s="2">
        <v>43185</v>
      </c>
      <c r="B124" t="s">
        <v>5</v>
      </c>
      <c r="C124" t="s">
        <v>13</v>
      </c>
      <c r="D124" t="s">
        <v>18</v>
      </c>
      <c r="E124" s="7">
        <v>6550.3619999999992</v>
      </c>
      <c r="F124" s="7">
        <v>5712.5249999999996</v>
      </c>
      <c r="G124" s="8">
        <f>Tabla1[[#This Row],[Ingresos]]-Tabla1[[#This Row],[Gastos]]</f>
        <v>837.83699999999953</v>
      </c>
      <c r="H124" s="13">
        <f>Tabla1[[#This Row],[Beneficio]]/Tabla1[[#This Row],[Ingresos]]</f>
        <v>0.127906976744186</v>
      </c>
    </row>
    <row r="125" spans="1:8" x14ac:dyDescent="0.35">
      <c r="A125" s="2">
        <v>43190</v>
      </c>
      <c r="B125" t="s">
        <v>5</v>
      </c>
      <c r="C125" t="s">
        <v>12</v>
      </c>
      <c r="D125" t="s">
        <v>17</v>
      </c>
      <c r="E125" s="7">
        <v>229507.42499999999</v>
      </c>
      <c r="F125" s="7">
        <v>189434.69999999998</v>
      </c>
      <c r="G125" s="8">
        <f>Tabla1[[#This Row],[Ingresos]]-Tabla1[[#This Row],[Gastos]]</f>
        <v>40072.725000000006</v>
      </c>
      <c r="H125" s="13">
        <f>Tabla1[[#This Row],[Beneficio]]/Tabla1[[#This Row],[Ingresos]]</f>
        <v>0.17460317460317465</v>
      </c>
    </row>
    <row r="126" spans="1:8" x14ac:dyDescent="0.35">
      <c r="A126" s="2">
        <v>43190</v>
      </c>
      <c r="B126" t="s">
        <v>6</v>
      </c>
      <c r="C126" t="s">
        <v>12</v>
      </c>
      <c r="D126" t="s">
        <v>17</v>
      </c>
      <c r="E126" s="7">
        <v>530.96399999999994</v>
      </c>
      <c r="F126" s="7">
        <v>441</v>
      </c>
      <c r="G126" s="8">
        <f>Tabla1[[#This Row],[Ingresos]]-Tabla1[[#This Row],[Gastos]]</f>
        <v>89.963999999999942</v>
      </c>
      <c r="H126" s="13">
        <f>Tabla1[[#This Row],[Beneficio]]/Tabla1[[#This Row],[Ingresos]]</f>
        <v>0.16943521594684377</v>
      </c>
    </row>
    <row r="127" spans="1:8" x14ac:dyDescent="0.35">
      <c r="A127" s="2">
        <v>43190</v>
      </c>
      <c r="B127" t="s">
        <v>5</v>
      </c>
      <c r="C127" t="s">
        <v>12</v>
      </c>
      <c r="D127" t="s">
        <v>17</v>
      </c>
      <c r="E127" s="7">
        <v>41912.639999999999</v>
      </c>
      <c r="F127" s="7">
        <v>35380.799999999996</v>
      </c>
      <c r="G127" s="8">
        <f>Tabla1[[#This Row],[Ingresos]]-Tabla1[[#This Row],[Gastos]]</f>
        <v>6531.8400000000038</v>
      </c>
      <c r="H127" s="13">
        <f>Tabla1[[#This Row],[Beneficio]]/Tabla1[[#This Row],[Ingresos]]</f>
        <v>0.15584415584415592</v>
      </c>
    </row>
    <row r="128" spans="1:8" x14ac:dyDescent="0.35">
      <c r="A128" s="2">
        <v>43190</v>
      </c>
      <c r="B128" t="s">
        <v>5</v>
      </c>
      <c r="C128" t="s">
        <v>43</v>
      </c>
      <c r="D128" t="s">
        <v>19</v>
      </c>
      <c r="E128" s="7">
        <v>216362.36159999997</v>
      </c>
      <c r="F128" s="7">
        <v>195980.4</v>
      </c>
      <c r="G128" s="8">
        <f>Tabla1[[#This Row],[Ingresos]]-Tabla1[[#This Row],[Gastos]]</f>
        <v>20381.961599999981</v>
      </c>
      <c r="H128" s="13">
        <f>Tabla1[[#This Row],[Beneficio]]/Tabla1[[#This Row],[Ingresos]]</f>
        <v>9.4202898550724556E-2</v>
      </c>
    </row>
    <row r="129" spans="1:8" x14ac:dyDescent="0.35">
      <c r="A129" s="2">
        <v>43191</v>
      </c>
      <c r="B129" t="s">
        <v>5</v>
      </c>
      <c r="C129" t="s">
        <v>43</v>
      </c>
      <c r="D129" t="s">
        <v>17</v>
      </c>
      <c r="E129" s="7">
        <v>4451.3280000000004</v>
      </c>
      <c r="F129" s="7">
        <v>2318.3999999999996</v>
      </c>
      <c r="G129" s="8">
        <f>Tabla1[[#This Row],[Ingresos]]-Tabla1[[#This Row],[Gastos]]</f>
        <v>2132.9280000000008</v>
      </c>
      <c r="H129" s="13">
        <f>Tabla1[[#This Row],[Beneficio]]/Tabla1[[#This Row],[Ingresos]]</f>
        <v>0.4791666666666668</v>
      </c>
    </row>
    <row r="130" spans="1:8" x14ac:dyDescent="0.35">
      <c r="A130" s="2">
        <v>43191</v>
      </c>
      <c r="B130" t="s">
        <v>7</v>
      </c>
      <c r="C130" t="s">
        <v>10</v>
      </c>
      <c r="D130" t="s">
        <v>17</v>
      </c>
      <c r="E130" s="7">
        <v>5632.7827499999994</v>
      </c>
      <c r="F130" s="7">
        <v>4235.1750000000002</v>
      </c>
      <c r="G130" s="8">
        <f>Tabla1[[#This Row],[Ingresos]]-Tabla1[[#This Row],[Gastos]]</f>
        <v>1397.6077499999992</v>
      </c>
      <c r="H130" s="13">
        <f>Tabla1[[#This Row],[Beneficio]]/Tabla1[[#This Row],[Ingresos]]</f>
        <v>0.24812030075187957</v>
      </c>
    </row>
    <row r="131" spans="1:8" x14ac:dyDescent="0.35">
      <c r="A131" s="2">
        <v>43191</v>
      </c>
      <c r="B131" t="s">
        <v>9</v>
      </c>
      <c r="C131" t="s">
        <v>12</v>
      </c>
      <c r="D131" t="s">
        <v>18</v>
      </c>
      <c r="E131" s="7">
        <v>4600.9388880000006</v>
      </c>
      <c r="F131" s="7">
        <v>3791.9825999999998</v>
      </c>
      <c r="G131" s="8">
        <f>Tabla1[[#This Row],[Ingresos]]-Tabla1[[#This Row],[Gastos]]</f>
        <v>808.95628800000077</v>
      </c>
      <c r="H131" s="13">
        <f>Tabla1[[#This Row],[Beneficio]]/Tabla1[[#This Row],[Ingresos]]</f>
        <v>0.17582417582417598</v>
      </c>
    </row>
    <row r="132" spans="1:8" x14ac:dyDescent="0.35">
      <c r="A132" s="2">
        <v>43192</v>
      </c>
      <c r="B132" t="s">
        <v>6</v>
      </c>
      <c r="C132" t="s">
        <v>12</v>
      </c>
      <c r="D132" t="s">
        <v>15</v>
      </c>
      <c r="E132" s="7">
        <v>9498.1949999999997</v>
      </c>
      <c r="F132" s="7">
        <v>6665.4</v>
      </c>
      <c r="G132" s="8">
        <f>Tabla1[[#This Row],[Ingresos]]-Tabla1[[#This Row],[Gastos]]</f>
        <v>2832.7950000000001</v>
      </c>
      <c r="H132" s="13">
        <f>Tabla1[[#This Row],[Beneficio]]/Tabla1[[#This Row],[Ingresos]]</f>
        <v>0.29824561403508776</v>
      </c>
    </row>
    <row r="133" spans="1:8" x14ac:dyDescent="0.35">
      <c r="A133" s="2">
        <v>43192</v>
      </c>
      <c r="B133" t="s">
        <v>6</v>
      </c>
      <c r="C133" t="s">
        <v>10</v>
      </c>
      <c r="D133" t="s">
        <v>17</v>
      </c>
      <c r="E133" s="7">
        <v>722.35799999999995</v>
      </c>
      <c r="F133" s="7">
        <v>567</v>
      </c>
      <c r="G133" s="8">
        <f>Tabla1[[#This Row],[Ingresos]]-Tabla1[[#This Row],[Gastos]]</f>
        <v>155.35799999999995</v>
      </c>
      <c r="H133" s="13">
        <f>Tabla1[[#This Row],[Beneficio]]/Tabla1[[#This Row],[Ingresos]]</f>
        <v>0.21507064364207215</v>
      </c>
    </row>
    <row r="134" spans="1:8" x14ac:dyDescent="0.35">
      <c r="A134" s="2">
        <v>43193</v>
      </c>
      <c r="B134" t="s">
        <v>8</v>
      </c>
      <c r="C134" t="s">
        <v>43</v>
      </c>
      <c r="D134" t="s">
        <v>17</v>
      </c>
      <c r="E134" s="7">
        <v>521.35019999999997</v>
      </c>
      <c r="F134" s="7">
        <v>404.77499999999998</v>
      </c>
      <c r="G134" s="8">
        <f>Tabla1[[#This Row],[Ingresos]]-Tabla1[[#This Row],[Gastos]]</f>
        <v>116.5752</v>
      </c>
      <c r="H134" s="13">
        <f>Tabla1[[#This Row],[Beneficio]]/Tabla1[[#This Row],[Ingresos]]</f>
        <v>0.2236024844720497</v>
      </c>
    </row>
    <row r="135" spans="1:8" x14ac:dyDescent="0.35">
      <c r="A135" s="2">
        <v>43193</v>
      </c>
      <c r="B135" t="s">
        <v>8</v>
      </c>
      <c r="C135" t="s">
        <v>13</v>
      </c>
      <c r="D135" t="s">
        <v>17</v>
      </c>
      <c r="E135" s="7">
        <v>6845.7689999999993</v>
      </c>
      <c r="F135" s="7">
        <v>3934.35</v>
      </c>
      <c r="G135" s="8">
        <f>Tabla1[[#This Row],[Ingresos]]-Tabla1[[#This Row],[Gastos]]</f>
        <v>2911.4189999999994</v>
      </c>
      <c r="H135" s="13">
        <f>Tabla1[[#This Row],[Beneficio]]/Tabla1[[#This Row],[Ingresos]]</f>
        <v>0.42528735632183906</v>
      </c>
    </row>
    <row r="136" spans="1:8" x14ac:dyDescent="0.35">
      <c r="A136" s="2">
        <v>43193</v>
      </c>
      <c r="B136" t="s">
        <v>9</v>
      </c>
      <c r="C136" t="s">
        <v>10</v>
      </c>
      <c r="D136" t="s">
        <v>18</v>
      </c>
      <c r="E136" s="7">
        <v>25621.982694000009</v>
      </c>
      <c r="F136" s="7">
        <v>21591.55845</v>
      </c>
      <c r="G136" s="8">
        <f>Tabla1[[#This Row],[Ingresos]]-Tabla1[[#This Row],[Gastos]]</f>
        <v>4030.4242440000089</v>
      </c>
      <c r="H136" s="13">
        <f>Tabla1[[#This Row],[Beneficio]]/Tabla1[[#This Row],[Ingresos]]</f>
        <v>0.15730337078651715</v>
      </c>
    </row>
    <row r="137" spans="1:8" x14ac:dyDescent="0.35">
      <c r="A137" s="2">
        <v>43194</v>
      </c>
      <c r="B137" t="s">
        <v>9</v>
      </c>
      <c r="C137" t="s">
        <v>10</v>
      </c>
      <c r="D137" t="s">
        <v>17</v>
      </c>
      <c r="E137" s="7">
        <v>155037.96</v>
      </c>
      <c r="F137" s="7">
        <v>122522.4</v>
      </c>
      <c r="G137" s="8">
        <f>Tabla1[[#This Row],[Ingresos]]-Tabla1[[#This Row],[Gastos]]</f>
        <v>32515.559999999998</v>
      </c>
      <c r="H137" s="13">
        <f>Tabla1[[#This Row],[Beneficio]]/Tabla1[[#This Row],[Ingresos]]</f>
        <v>0.20972644376899696</v>
      </c>
    </row>
    <row r="138" spans="1:8" x14ac:dyDescent="0.35">
      <c r="A138" s="2">
        <v>43195</v>
      </c>
      <c r="B138" t="s">
        <v>6</v>
      </c>
      <c r="C138" t="s">
        <v>43</v>
      </c>
      <c r="D138" t="s">
        <v>17</v>
      </c>
      <c r="E138" s="7">
        <v>7917.3360000000002</v>
      </c>
      <c r="F138" s="7">
        <v>4302.8999999999996</v>
      </c>
      <c r="G138" s="8">
        <f>Tabla1[[#This Row],[Ingresos]]-Tabla1[[#This Row],[Gastos]]</f>
        <v>3614.4360000000006</v>
      </c>
      <c r="H138" s="13">
        <f>Tabla1[[#This Row],[Beneficio]]/Tabla1[[#This Row],[Ingresos]]</f>
        <v>0.45652173913043487</v>
      </c>
    </row>
    <row r="139" spans="1:8" x14ac:dyDescent="0.35">
      <c r="A139" s="2">
        <v>43196</v>
      </c>
      <c r="B139" t="s">
        <v>5</v>
      </c>
      <c r="C139" t="s">
        <v>10</v>
      </c>
      <c r="D139" t="s">
        <v>18</v>
      </c>
      <c r="E139" s="7">
        <v>5103.5443199999991</v>
      </c>
      <c r="F139" s="7">
        <v>3987.1439999999993</v>
      </c>
      <c r="G139" s="8">
        <f>Tabla1[[#This Row],[Ingresos]]-Tabla1[[#This Row],[Gastos]]</f>
        <v>1116.4003199999997</v>
      </c>
      <c r="H139" s="13">
        <f>Tabla1[[#This Row],[Beneficio]]/Tabla1[[#This Row],[Ingresos]]</f>
        <v>0.21875</v>
      </c>
    </row>
    <row r="140" spans="1:8" x14ac:dyDescent="0.35">
      <c r="A140" s="2">
        <v>43197</v>
      </c>
      <c r="B140" t="s">
        <v>8</v>
      </c>
      <c r="C140" t="s">
        <v>13</v>
      </c>
      <c r="D140" t="s">
        <v>16</v>
      </c>
      <c r="E140" s="7">
        <v>78179.668269230751</v>
      </c>
      <c r="F140" s="7">
        <v>67057.2</v>
      </c>
      <c r="G140" s="8">
        <f>Tabla1[[#This Row],[Ingresos]]-Tabla1[[#This Row],[Gastos]]</f>
        <v>11122.468269230754</v>
      </c>
      <c r="H140" s="13">
        <f>Tabla1[[#This Row],[Beneficio]]/Tabla1[[#This Row],[Ingresos]]</f>
        <v>0.14226804123711323</v>
      </c>
    </row>
    <row r="141" spans="1:8" x14ac:dyDescent="0.35">
      <c r="A141" s="2">
        <v>43197</v>
      </c>
      <c r="B141" t="s">
        <v>8</v>
      </c>
      <c r="C141" t="s">
        <v>10</v>
      </c>
      <c r="D141" t="s">
        <v>19</v>
      </c>
      <c r="E141" s="7">
        <v>326222.03250000003</v>
      </c>
      <c r="F141" s="7">
        <v>298738.125</v>
      </c>
      <c r="G141" s="8">
        <f>Tabla1[[#This Row],[Ingresos]]-Tabla1[[#This Row],[Gastos]]</f>
        <v>27483.90750000003</v>
      </c>
      <c r="H141" s="13">
        <f>Tabla1[[#This Row],[Beneficio]]/Tabla1[[#This Row],[Ingresos]]</f>
        <v>8.4249084249084338E-2</v>
      </c>
    </row>
    <row r="142" spans="1:8" x14ac:dyDescent="0.35">
      <c r="A142" s="2">
        <v>43197</v>
      </c>
      <c r="B142" t="s">
        <v>8</v>
      </c>
      <c r="C142" t="s">
        <v>13</v>
      </c>
      <c r="D142" t="s">
        <v>19</v>
      </c>
      <c r="E142" s="7">
        <v>236473.32239999998</v>
      </c>
      <c r="F142" s="7">
        <v>214196.84999999998</v>
      </c>
      <c r="G142" s="8">
        <f>Tabla1[[#This Row],[Ingresos]]-Tabla1[[#This Row],[Gastos]]</f>
        <v>22276.472399999999</v>
      </c>
      <c r="H142" s="13">
        <f>Tabla1[[#This Row],[Beneficio]]/Tabla1[[#This Row],[Ingresos]]</f>
        <v>9.420289855072464E-2</v>
      </c>
    </row>
    <row r="143" spans="1:8" x14ac:dyDescent="0.35">
      <c r="A143" s="2">
        <v>43198</v>
      </c>
      <c r="B143" t="s">
        <v>5</v>
      </c>
      <c r="C143" t="s">
        <v>43</v>
      </c>
      <c r="D143" t="s">
        <v>15</v>
      </c>
      <c r="E143" s="7">
        <v>3043.6559999999999</v>
      </c>
      <c r="F143" s="7">
        <v>2113.65</v>
      </c>
      <c r="G143" s="8">
        <f>Tabla1[[#This Row],[Ingresos]]-Tabla1[[#This Row],[Gastos]]</f>
        <v>930.00599999999986</v>
      </c>
      <c r="H143" s="13">
        <f>Tabla1[[#This Row],[Beneficio]]/Tabla1[[#This Row],[Ingresos]]</f>
        <v>0.30555555555555552</v>
      </c>
    </row>
    <row r="144" spans="1:8" x14ac:dyDescent="0.35">
      <c r="A144" s="2">
        <v>43198</v>
      </c>
      <c r="B144" t="s">
        <v>8</v>
      </c>
      <c r="C144" t="s">
        <v>12</v>
      </c>
      <c r="D144" t="s">
        <v>18</v>
      </c>
      <c r="E144" s="7">
        <v>6623.0136000000002</v>
      </c>
      <c r="F144" s="7">
        <v>5341.1399999999994</v>
      </c>
      <c r="G144" s="8">
        <f>Tabla1[[#This Row],[Ingresos]]-Tabla1[[#This Row],[Gastos]]</f>
        <v>1281.8736000000008</v>
      </c>
      <c r="H144" s="13">
        <f>Tabla1[[#This Row],[Beneficio]]/Tabla1[[#This Row],[Ingresos]]</f>
        <v>0.1935483870967743</v>
      </c>
    </row>
    <row r="145" spans="1:8" x14ac:dyDescent="0.35">
      <c r="A145" s="2">
        <v>43200</v>
      </c>
      <c r="B145" t="s">
        <v>7</v>
      </c>
      <c r="C145" t="s">
        <v>10</v>
      </c>
      <c r="D145" t="s">
        <v>19</v>
      </c>
      <c r="E145" s="7">
        <v>111517.93799999999</v>
      </c>
      <c r="F145" s="7">
        <v>101012.625</v>
      </c>
      <c r="G145" s="8">
        <f>Tabla1[[#This Row],[Ingresos]]-Tabla1[[#This Row],[Gastos]]</f>
        <v>10505.312999999995</v>
      </c>
      <c r="H145" s="13">
        <f>Tabla1[[#This Row],[Beneficio]]/Tabla1[[#This Row],[Ingresos]]</f>
        <v>9.4202898550724598E-2</v>
      </c>
    </row>
    <row r="146" spans="1:8" x14ac:dyDescent="0.35">
      <c r="A146" s="2">
        <v>43200</v>
      </c>
      <c r="B146" t="s">
        <v>8</v>
      </c>
      <c r="C146" t="s">
        <v>13</v>
      </c>
      <c r="D146" t="s">
        <v>18</v>
      </c>
      <c r="E146" s="7">
        <v>33434.831430000006</v>
      </c>
      <c r="F146" s="7">
        <v>26395.919550000002</v>
      </c>
      <c r="G146" s="8">
        <f>Tabla1[[#This Row],[Ingresos]]-Tabla1[[#This Row],[Gastos]]</f>
        <v>7038.9118800000033</v>
      </c>
      <c r="H146" s="13">
        <f>Tabla1[[#This Row],[Beneficio]]/Tabla1[[#This Row],[Ingresos]]</f>
        <v>0.21052631578947376</v>
      </c>
    </row>
    <row r="147" spans="1:8" x14ac:dyDescent="0.35">
      <c r="A147" s="2">
        <v>43201</v>
      </c>
      <c r="B147" t="s">
        <v>8</v>
      </c>
      <c r="C147" t="s">
        <v>43</v>
      </c>
      <c r="D147" t="s">
        <v>17</v>
      </c>
      <c r="E147" s="7">
        <v>57815.1</v>
      </c>
      <c r="F147" s="7">
        <v>45208.799999999996</v>
      </c>
      <c r="G147" s="8">
        <f>Tabla1[[#This Row],[Ingresos]]-Tabla1[[#This Row],[Gastos]]</f>
        <v>12606.300000000003</v>
      </c>
      <c r="H147" s="13">
        <f>Tabla1[[#This Row],[Beneficio]]/Tabla1[[#This Row],[Ingresos]]</f>
        <v>0.21804511278195493</v>
      </c>
    </row>
    <row r="148" spans="1:8" x14ac:dyDescent="0.35">
      <c r="A148" s="2">
        <v>43202</v>
      </c>
      <c r="B148" t="s">
        <v>5</v>
      </c>
      <c r="C148" t="s">
        <v>10</v>
      </c>
      <c r="D148" t="s">
        <v>15</v>
      </c>
      <c r="E148" s="7">
        <v>3043.6559999999999</v>
      </c>
      <c r="F148" s="7">
        <v>2113.65</v>
      </c>
      <c r="G148" s="8">
        <f>Tabla1[[#This Row],[Ingresos]]-Tabla1[[#This Row],[Gastos]]</f>
        <v>930.00599999999986</v>
      </c>
      <c r="H148" s="13">
        <f>Tabla1[[#This Row],[Beneficio]]/Tabla1[[#This Row],[Ingresos]]</f>
        <v>0.30555555555555552</v>
      </c>
    </row>
    <row r="149" spans="1:8" x14ac:dyDescent="0.35">
      <c r="A149" s="2">
        <v>43203</v>
      </c>
      <c r="B149" t="s">
        <v>5</v>
      </c>
      <c r="C149" t="s">
        <v>13</v>
      </c>
      <c r="D149" t="s">
        <v>16</v>
      </c>
      <c r="E149" s="7">
        <v>82226.994230769225</v>
      </c>
      <c r="F149" s="7">
        <v>76014.288</v>
      </c>
      <c r="G149" s="8">
        <f>Tabla1[[#This Row],[Ingresos]]-Tabla1[[#This Row],[Gastos]]</f>
        <v>6212.7062307692249</v>
      </c>
      <c r="H149" s="13">
        <f>Tabla1[[#This Row],[Beneficio]]/Tabla1[[#This Row],[Ingresos]]</f>
        <v>7.5555555555555487E-2</v>
      </c>
    </row>
    <row r="150" spans="1:8" x14ac:dyDescent="0.35">
      <c r="A150" s="2">
        <v>43205</v>
      </c>
      <c r="B150" t="s">
        <v>7</v>
      </c>
      <c r="C150" t="s">
        <v>11</v>
      </c>
      <c r="D150" t="s">
        <v>17</v>
      </c>
      <c r="E150" s="7">
        <v>3358.6559999999999</v>
      </c>
      <c r="F150" s="7">
        <v>1713.6</v>
      </c>
      <c r="G150" s="8">
        <f>Tabla1[[#This Row],[Ingresos]]-Tabla1[[#This Row],[Gastos]]</f>
        <v>1645.056</v>
      </c>
      <c r="H150" s="13">
        <f>Tabla1[[#This Row],[Beneficio]]/Tabla1[[#This Row],[Ingresos]]</f>
        <v>0.48979591836734698</v>
      </c>
    </row>
    <row r="151" spans="1:8" x14ac:dyDescent="0.35">
      <c r="A151" s="2">
        <v>43206</v>
      </c>
      <c r="B151" t="s">
        <v>5</v>
      </c>
      <c r="C151" t="s">
        <v>12</v>
      </c>
      <c r="D151" t="s">
        <v>15</v>
      </c>
      <c r="E151" s="7">
        <v>33961.244624999999</v>
      </c>
      <c r="F151" s="7">
        <v>23102.887499999997</v>
      </c>
      <c r="G151" s="8">
        <f>Tabla1[[#This Row],[Ingresos]]-Tabla1[[#This Row],[Gastos]]</f>
        <v>10858.357125000002</v>
      </c>
      <c r="H151" s="13">
        <f>Tabla1[[#This Row],[Beneficio]]/Tabla1[[#This Row],[Ingresos]]</f>
        <v>0.31972789115646266</v>
      </c>
    </row>
    <row r="152" spans="1:8" x14ac:dyDescent="0.35">
      <c r="A152" s="2">
        <v>43206</v>
      </c>
      <c r="B152" t="s">
        <v>7</v>
      </c>
      <c r="C152" t="s">
        <v>13</v>
      </c>
      <c r="D152" t="s">
        <v>17</v>
      </c>
      <c r="E152" s="7">
        <v>10745.406000000001</v>
      </c>
      <c r="F152" s="7">
        <v>5777.0999999999995</v>
      </c>
      <c r="G152" s="8">
        <f>Tabla1[[#This Row],[Ingresos]]-Tabla1[[#This Row],[Gastos]]</f>
        <v>4968.3060000000014</v>
      </c>
      <c r="H152" s="13">
        <f>Tabla1[[#This Row],[Beneficio]]/Tabla1[[#This Row],[Ingresos]]</f>
        <v>0.46236559139784955</v>
      </c>
    </row>
    <row r="153" spans="1:8" x14ac:dyDescent="0.35">
      <c r="A153" s="2">
        <v>43207</v>
      </c>
      <c r="B153" t="s">
        <v>9</v>
      </c>
      <c r="C153" t="s">
        <v>10</v>
      </c>
      <c r="D153" t="s">
        <v>17</v>
      </c>
      <c r="E153" s="7">
        <v>235212.86249999999</v>
      </c>
      <c r="F153" s="7">
        <v>176494.5</v>
      </c>
      <c r="G153" s="8">
        <f>Tabla1[[#This Row],[Ingresos]]-Tabla1[[#This Row],[Gastos]]</f>
        <v>58718.362499999988</v>
      </c>
      <c r="H153" s="13">
        <f>Tabla1[[#This Row],[Beneficio]]/Tabla1[[#This Row],[Ingresos]]</f>
        <v>0.24963924963924961</v>
      </c>
    </row>
    <row r="154" spans="1:8" x14ac:dyDescent="0.35">
      <c r="A154" s="2">
        <v>43208</v>
      </c>
      <c r="B154" t="s">
        <v>9</v>
      </c>
      <c r="C154" t="s">
        <v>43</v>
      </c>
      <c r="D154" t="s">
        <v>17</v>
      </c>
      <c r="E154" s="7">
        <v>10679.768662500001</v>
      </c>
      <c r="F154" s="7">
        <v>8029.9012499999999</v>
      </c>
      <c r="G154" s="8">
        <f>Tabla1[[#This Row],[Ingresos]]-Tabla1[[#This Row],[Gastos]]</f>
        <v>2649.8674125000007</v>
      </c>
      <c r="H154" s="13">
        <f>Tabla1[[#This Row],[Beneficio]]/Tabla1[[#This Row],[Ingresos]]</f>
        <v>0.24812030075187974</v>
      </c>
    </row>
    <row r="155" spans="1:8" x14ac:dyDescent="0.35">
      <c r="A155" s="2">
        <v>43209</v>
      </c>
      <c r="B155" t="s">
        <v>6</v>
      </c>
      <c r="C155" t="s">
        <v>43</v>
      </c>
      <c r="D155" t="s">
        <v>17</v>
      </c>
      <c r="E155" s="7">
        <v>10846.750320000001</v>
      </c>
      <c r="F155" s="7">
        <v>5894.9730000000009</v>
      </c>
      <c r="G155" s="8">
        <f>Tabla1[[#This Row],[Ingresos]]-Tabla1[[#This Row],[Gastos]]</f>
        <v>4951.7773200000001</v>
      </c>
      <c r="H155" s="13">
        <f>Tabla1[[#This Row],[Beneficio]]/Tabla1[[#This Row],[Ingresos]]</f>
        <v>0.45652173913043476</v>
      </c>
    </row>
    <row r="156" spans="1:8" x14ac:dyDescent="0.35">
      <c r="A156" s="2">
        <v>43209</v>
      </c>
      <c r="B156" t="s">
        <v>5</v>
      </c>
      <c r="C156" t="s">
        <v>11</v>
      </c>
      <c r="D156" t="s">
        <v>19</v>
      </c>
      <c r="E156" s="7">
        <v>701101.16999999993</v>
      </c>
      <c r="F156" s="7">
        <v>590152.5</v>
      </c>
      <c r="G156" s="8">
        <f>Tabla1[[#This Row],[Ingresos]]-Tabla1[[#This Row],[Gastos]]</f>
        <v>110948.66999999993</v>
      </c>
      <c r="H156" s="13">
        <f>Tabla1[[#This Row],[Beneficio]]/Tabla1[[#This Row],[Ingresos]]</f>
        <v>0.15824915824915817</v>
      </c>
    </row>
    <row r="157" spans="1:8" x14ac:dyDescent="0.35">
      <c r="A157" s="2">
        <v>43210</v>
      </c>
      <c r="B157" t="s">
        <v>8</v>
      </c>
      <c r="C157" t="s">
        <v>11</v>
      </c>
      <c r="D157" t="s">
        <v>15</v>
      </c>
      <c r="E157" s="7">
        <v>10277.58375</v>
      </c>
      <c r="F157" s="7">
        <v>8060.8499999999995</v>
      </c>
      <c r="G157" s="8">
        <f>Tabla1[[#This Row],[Ingresos]]-Tabla1[[#This Row],[Gastos]]</f>
        <v>2216.7337500000003</v>
      </c>
      <c r="H157" s="13">
        <f>Tabla1[[#This Row],[Beneficio]]/Tabla1[[#This Row],[Ingresos]]</f>
        <v>0.21568627450980396</v>
      </c>
    </row>
    <row r="158" spans="1:8" x14ac:dyDescent="0.35">
      <c r="A158" s="2">
        <v>43210</v>
      </c>
      <c r="B158" t="s">
        <v>8</v>
      </c>
      <c r="C158" t="s">
        <v>11</v>
      </c>
      <c r="D158" t="s">
        <v>17</v>
      </c>
      <c r="E158" s="7">
        <v>8313.1650000000009</v>
      </c>
      <c r="F158" s="7">
        <v>4375.3499999999995</v>
      </c>
      <c r="G158" s="8">
        <f>Tabla1[[#This Row],[Ingresos]]-Tabla1[[#This Row],[Gastos]]</f>
        <v>3937.8150000000014</v>
      </c>
      <c r="H158" s="13">
        <f>Tabla1[[#This Row],[Beneficio]]/Tabla1[[#This Row],[Ingresos]]</f>
        <v>0.47368421052631593</v>
      </c>
    </row>
    <row r="159" spans="1:8" x14ac:dyDescent="0.35">
      <c r="A159" s="2">
        <v>43211</v>
      </c>
      <c r="B159" t="s">
        <v>9</v>
      </c>
      <c r="C159" t="s">
        <v>12</v>
      </c>
      <c r="D159" t="s">
        <v>19</v>
      </c>
      <c r="E159" s="7">
        <v>85015.98</v>
      </c>
      <c r="F159" s="7">
        <v>72292.5</v>
      </c>
      <c r="G159" s="8">
        <f>Tabla1[[#This Row],[Ingresos]]-Tabla1[[#This Row],[Gastos]]</f>
        <v>12723.479999999996</v>
      </c>
      <c r="H159" s="13">
        <f>Tabla1[[#This Row],[Beneficio]]/Tabla1[[#This Row],[Ingresos]]</f>
        <v>0.1496598639455782</v>
      </c>
    </row>
    <row r="160" spans="1:8" x14ac:dyDescent="0.35">
      <c r="A160" s="2">
        <v>43212</v>
      </c>
      <c r="B160" t="s">
        <v>5</v>
      </c>
      <c r="C160" t="s">
        <v>43</v>
      </c>
      <c r="D160" t="s">
        <v>17</v>
      </c>
      <c r="E160" s="7">
        <v>2490.0182999999997</v>
      </c>
      <c r="F160" s="7">
        <v>2044.35</v>
      </c>
      <c r="G160" s="8">
        <f>Tabla1[[#This Row],[Ingresos]]-Tabla1[[#This Row],[Gastos]]</f>
        <v>445.66829999999982</v>
      </c>
      <c r="H160" s="13">
        <f>Tabla1[[#This Row],[Beneficio]]/Tabla1[[#This Row],[Ingresos]]</f>
        <v>0.17898193760262721</v>
      </c>
    </row>
    <row r="161" spans="1:8" x14ac:dyDescent="0.35">
      <c r="A161" s="2">
        <v>43214</v>
      </c>
      <c r="B161" t="s">
        <v>8</v>
      </c>
      <c r="C161" t="s">
        <v>11</v>
      </c>
      <c r="D161" t="s">
        <v>15</v>
      </c>
      <c r="E161" s="7">
        <v>8922.3119999999999</v>
      </c>
      <c r="F161" s="7">
        <v>6196.0499999999993</v>
      </c>
      <c r="G161" s="8">
        <f>Tabla1[[#This Row],[Ingresos]]-Tabla1[[#This Row],[Gastos]]</f>
        <v>2726.2620000000006</v>
      </c>
      <c r="H161" s="13">
        <f>Tabla1[[#This Row],[Beneficio]]/Tabla1[[#This Row],[Ingresos]]</f>
        <v>0.30555555555555564</v>
      </c>
    </row>
    <row r="162" spans="1:8" x14ac:dyDescent="0.35">
      <c r="A162" s="2">
        <v>43214</v>
      </c>
      <c r="B162" t="s">
        <v>6</v>
      </c>
      <c r="C162" t="s">
        <v>10</v>
      </c>
      <c r="D162" t="s">
        <v>16</v>
      </c>
      <c r="E162" s="7">
        <v>84464.872355769228</v>
      </c>
      <c r="F162" s="7">
        <v>78960.42</v>
      </c>
      <c r="G162" s="8">
        <f>Tabla1[[#This Row],[Ingresos]]-Tabla1[[#This Row],[Gastos]]</f>
        <v>5504.4523557692301</v>
      </c>
      <c r="H162" s="13">
        <f>Tabla1[[#This Row],[Beneficio]]/Tabla1[[#This Row],[Ingresos]]</f>
        <v>6.5168539325842684E-2</v>
      </c>
    </row>
    <row r="163" spans="1:8" x14ac:dyDescent="0.35">
      <c r="A163" s="2">
        <v>43216</v>
      </c>
      <c r="B163" t="s">
        <v>9</v>
      </c>
      <c r="C163" t="s">
        <v>10</v>
      </c>
      <c r="D163" t="s">
        <v>15</v>
      </c>
      <c r="E163" s="7">
        <v>5539.3915499999994</v>
      </c>
      <c r="F163" s="7">
        <v>3970.8899999999994</v>
      </c>
      <c r="G163" s="8">
        <f>Tabla1[[#This Row],[Ingresos]]-Tabla1[[#This Row],[Gastos]]</f>
        <v>1568.50155</v>
      </c>
      <c r="H163" s="13">
        <f>Tabla1[[#This Row],[Beneficio]]/Tabla1[[#This Row],[Ingresos]]</f>
        <v>0.28315412186379929</v>
      </c>
    </row>
    <row r="164" spans="1:8" x14ac:dyDescent="0.35">
      <c r="A164" s="2">
        <v>43216</v>
      </c>
      <c r="B164" t="s">
        <v>9</v>
      </c>
      <c r="C164" t="s">
        <v>10</v>
      </c>
      <c r="D164" t="s">
        <v>18</v>
      </c>
      <c r="E164" s="7">
        <v>6970.2065999999995</v>
      </c>
      <c r="F164" s="7">
        <v>5389.335</v>
      </c>
      <c r="G164" s="8">
        <f>Tabla1[[#This Row],[Ingresos]]-Tabla1[[#This Row],[Gastos]]</f>
        <v>1580.8715999999995</v>
      </c>
      <c r="H164" s="13">
        <f>Tabla1[[#This Row],[Beneficio]]/Tabla1[[#This Row],[Ingresos]]</f>
        <v>0.22680412371134015</v>
      </c>
    </row>
    <row r="165" spans="1:8" x14ac:dyDescent="0.35">
      <c r="A165" s="2">
        <v>43217</v>
      </c>
      <c r="B165" t="s">
        <v>5</v>
      </c>
      <c r="C165" t="s">
        <v>10</v>
      </c>
      <c r="D165" t="s">
        <v>15</v>
      </c>
      <c r="E165" s="7">
        <v>7082.1134999999995</v>
      </c>
      <c r="F165" s="7">
        <v>4769.0999999999995</v>
      </c>
      <c r="G165" s="8">
        <f>Tabla1[[#This Row],[Ingresos]]-Tabla1[[#This Row],[Gastos]]</f>
        <v>2313.0135</v>
      </c>
      <c r="H165" s="13">
        <f>Tabla1[[#This Row],[Beneficio]]/Tabla1[[#This Row],[Ingresos]]</f>
        <v>0.32659932659932661</v>
      </c>
    </row>
    <row r="166" spans="1:8" x14ac:dyDescent="0.35">
      <c r="A166" s="2">
        <v>43217</v>
      </c>
      <c r="B166" t="s">
        <v>9</v>
      </c>
      <c r="C166" t="s">
        <v>12</v>
      </c>
      <c r="D166" t="s">
        <v>15</v>
      </c>
      <c r="E166" s="7">
        <v>16110.170999999998</v>
      </c>
      <c r="F166" s="7">
        <v>12204.674999999999</v>
      </c>
      <c r="G166" s="8">
        <f>Tabla1[[#This Row],[Ingresos]]-Tabla1[[#This Row],[Gastos]]</f>
        <v>3905.4959999999992</v>
      </c>
      <c r="H166" s="13">
        <f>Tabla1[[#This Row],[Beneficio]]/Tabla1[[#This Row],[Ingresos]]</f>
        <v>0.2424242424242424</v>
      </c>
    </row>
    <row r="167" spans="1:8" x14ac:dyDescent="0.35">
      <c r="A167" s="2">
        <v>43218</v>
      </c>
      <c r="B167" t="s">
        <v>9</v>
      </c>
      <c r="C167" t="s">
        <v>11</v>
      </c>
      <c r="D167" t="s">
        <v>16</v>
      </c>
      <c r="E167" s="7">
        <v>98702.069711538454</v>
      </c>
      <c r="F167" s="7">
        <v>92269.799999999988</v>
      </c>
      <c r="G167" s="8">
        <f>Tabla1[[#This Row],[Ingresos]]-Tabla1[[#This Row],[Gastos]]</f>
        <v>6432.2697115384653</v>
      </c>
      <c r="H167" s="13">
        <f>Tabla1[[#This Row],[Beneficio]]/Tabla1[[#This Row],[Ingresos]]</f>
        <v>6.5168539325842739E-2</v>
      </c>
    </row>
    <row r="168" spans="1:8" x14ac:dyDescent="0.35">
      <c r="A168" s="2">
        <v>43219</v>
      </c>
      <c r="B168" t="s">
        <v>5</v>
      </c>
      <c r="C168" t="s">
        <v>12</v>
      </c>
      <c r="D168" t="s">
        <v>16</v>
      </c>
      <c r="E168" s="7">
        <v>328104</v>
      </c>
      <c r="F168" s="7">
        <v>272982.52799999999</v>
      </c>
      <c r="G168" s="8">
        <f>Tabla1[[#This Row],[Ingresos]]-Tabla1[[#This Row],[Gastos]]</f>
        <v>55121.472000000009</v>
      </c>
      <c r="H168" s="13">
        <f>Tabla1[[#This Row],[Beneficio]]/Tabla1[[#This Row],[Ingresos]]</f>
        <v>0.16800000000000004</v>
      </c>
    </row>
    <row r="169" spans="1:8" x14ac:dyDescent="0.35">
      <c r="A169" s="2">
        <v>43219</v>
      </c>
      <c r="B169" t="s">
        <v>9</v>
      </c>
      <c r="C169" t="s">
        <v>12</v>
      </c>
      <c r="D169" t="s">
        <v>17</v>
      </c>
      <c r="E169" s="7">
        <v>15375.906000000001</v>
      </c>
      <c r="F169" s="7">
        <v>8448.2999999999993</v>
      </c>
      <c r="G169" s="8">
        <f>Tabla1[[#This Row],[Ingresos]]-Tabla1[[#This Row],[Gastos]]</f>
        <v>6927.6060000000016</v>
      </c>
      <c r="H169" s="13">
        <f>Tabla1[[#This Row],[Beneficio]]/Tabla1[[#This Row],[Ingresos]]</f>
        <v>0.45054945054945061</v>
      </c>
    </row>
    <row r="170" spans="1:8" x14ac:dyDescent="0.35">
      <c r="A170" s="2">
        <v>43219</v>
      </c>
      <c r="B170" t="s">
        <v>8</v>
      </c>
      <c r="C170" t="s">
        <v>11</v>
      </c>
      <c r="D170" t="s">
        <v>17</v>
      </c>
      <c r="E170" s="7">
        <v>41703.88949999999</v>
      </c>
      <c r="F170" s="7">
        <v>20851.944749999995</v>
      </c>
      <c r="G170" s="8">
        <f>Tabla1[[#This Row],[Ingresos]]-Tabla1[[#This Row],[Gastos]]</f>
        <v>20851.944749999995</v>
      </c>
      <c r="H170" s="13">
        <f>Tabla1[[#This Row],[Beneficio]]/Tabla1[[#This Row],[Ingresos]]</f>
        <v>0.5</v>
      </c>
    </row>
    <row r="171" spans="1:8" x14ac:dyDescent="0.35">
      <c r="A171" s="2">
        <v>43219</v>
      </c>
      <c r="B171" t="s">
        <v>6</v>
      </c>
      <c r="C171" t="s">
        <v>13</v>
      </c>
      <c r="D171" t="s">
        <v>17</v>
      </c>
      <c r="E171" s="7">
        <v>8396.010252</v>
      </c>
      <c r="F171" s="7">
        <v>6518.6415000000006</v>
      </c>
      <c r="G171" s="8">
        <f>Tabla1[[#This Row],[Ingresos]]-Tabla1[[#This Row],[Gastos]]</f>
        <v>1877.3687519999994</v>
      </c>
      <c r="H171" s="13">
        <f>Tabla1[[#This Row],[Beneficio]]/Tabla1[[#This Row],[Ingresos]]</f>
        <v>0.22360248447204961</v>
      </c>
    </row>
    <row r="172" spans="1:8" x14ac:dyDescent="0.35">
      <c r="A172" s="2">
        <v>43219</v>
      </c>
      <c r="B172" t="s">
        <v>5</v>
      </c>
      <c r="C172" t="s">
        <v>12</v>
      </c>
      <c r="D172" t="s">
        <v>18</v>
      </c>
      <c r="E172" s="7">
        <v>3900.1208400000005</v>
      </c>
      <c r="F172" s="7">
        <v>3250.1007</v>
      </c>
      <c r="G172" s="8">
        <f>Tabla1[[#This Row],[Ingresos]]-Tabla1[[#This Row],[Gastos]]</f>
        <v>650.02014000000054</v>
      </c>
      <c r="H172" s="13">
        <f>Tabla1[[#This Row],[Beneficio]]/Tabla1[[#This Row],[Ingresos]]</f>
        <v>0.1666666666666668</v>
      </c>
    </row>
    <row r="173" spans="1:8" x14ac:dyDescent="0.35">
      <c r="A173" s="2">
        <v>43220</v>
      </c>
      <c r="B173" t="s">
        <v>7</v>
      </c>
      <c r="C173" t="s">
        <v>10</v>
      </c>
      <c r="D173" t="s">
        <v>16</v>
      </c>
      <c r="E173" s="7">
        <v>24464.178173076925</v>
      </c>
      <c r="F173" s="7">
        <v>20769.588</v>
      </c>
      <c r="G173" s="8">
        <f>Tabla1[[#This Row],[Ingresos]]-Tabla1[[#This Row],[Gastos]]</f>
        <v>3694.5901730769256</v>
      </c>
      <c r="H173" s="13">
        <f>Tabla1[[#This Row],[Beneficio]]/Tabla1[[#This Row],[Ingresos]]</f>
        <v>0.1510204081632654</v>
      </c>
    </row>
    <row r="174" spans="1:8" x14ac:dyDescent="0.35">
      <c r="A174" s="2">
        <v>43222</v>
      </c>
      <c r="B174" t="s">
        <v>7</v>
      </c>
      <c r="C174" t="s">
        <v>43</v>
      </c>
      <c r="D174" t="s">
        <v>18</v>
      </c>
      <c r="E174" s="7">
        <v>4015.5695999999998</v>
      </c>
      <c r="F174" s="7">
        <v>3073.14</v>
      </c>
      <c r="G174" s="8">
        <f>Tabla1[[#This Row],[Ingresos]]-Tabla1[[#This Row],[Gastos]]</f>
        <v>942.42959999999994</v>
      </c>
      <c r="H174" s="13">
        <f>Tabla1[[#This Row],[Beneficio]]/Tabla1[[#This Row],[Ingresos]]</f>
        <v>0.23469387755102039</v>
      </c>
    </row>
    <row r="175" spans="1:8" x14ac:dyDescent="0.35">
      <c r="A175" s="2">
        <v>43223</v>
      </c>
      <c r="B175" t="s">
        <v>8</v>
      </c>
      <c r="C175" t="s">
        <v>43</v>
      </c>
      <c r="D175" t="s">
        <v>16</v>
      </c>
      <c r="E175" s="7">
        <v>122311.84975961538</v>
      </c>
      <c r="F175" s="7">
        <v>101763.45900000002</v>
      </c>
      <c r="G175" s="8">
        <f>Tabla1[[#This Row],[Ingresos]]-Tabla1[[#This Row],[Gastos]]</f>
        <v>20548.390759615359</v>
      </c>
      <c r="H175" s="13">
        <f>Tabla1[[#This Row],[Beneficio]]/Tabla1[[#This Row],[Ingresos]]</f>
        <v>0.16799999999999979</v>
      </c>
    </row>
    <row r="176" spans="1:8" x14ac:dyDescent="0.35">
      <c r="A176" s="2">
        <v>43223</v>
      </c>
      <c r="B176" t="s">
        <v>6</v>
      </c>
      <c r="C176" t="s">
        <v>43</v>
      </c>
      <c r="D176" t="s">
        <v>17</v>
      </c>
      <c r="E176" s="7">
        <v>6201.09</v>
      </c>
      <c r="F176" s="7">
        <v>3647.7</v>
      </c>
      <c r="G176" s="8">
        <f>Tabla1[[#This Row],[Ingresos]]-Tabla1[[#This Row],[Gastos]]</f>
        <v>2553.3900000000003</v>
      </c>
      <c r="H176" s="13">
        <f>Tabla1[[#This Row],[Beneficio]]/Tabla1[[#This Row],[Ingresos]]</f>
        <v>0.41176470588235298</v>
      </c>
    </row>
    <row r="177" spans="1:8" x14ac:dyDescent="0.35">
      <c r="A177" s="2">
        <v>43223</v>
      </c>
      <c r="B177" t="s">
        <v>6</v>
      </c>
      <c r="C177" t="s">
        <v>10</v>
      </c>
      <c r="D177" t="s">
        <v>19</v>
      </c>
      <c r="E177" s="7">
        <v>353735.1972</v>
      </c>
      <c r="F177" s="7">
        <v>334976.51249999995</v>
      </c>
      <c r="G177" s="8">
        <f>Tabla1[[#This Row],[Ingresos]]-Tabla1[[#This Row],[Gastos]]</f>
        <v>18758.684700000042</v>
      </c>
      <c r="H177" s="13">
        <f>Tabla1[[#This Row],[Beneficio]]/Tabla1[[#This Row],[Ingresos]]</f>
        <v>5.303030303030315E-2</v>
      </c>
    </row>
    <row r="178" spans="1:8" x14ac:dyDescent="0.35">
      <c r="A178" s="2">
        <v>43223</v>
      </c>
      <c r="B178" t="s">
        <v>5</v>
      </c>
      <c r="C178" t="s">
        <v>10</v>
      </c>
      <c r="D178" t="s">
        <v>18</v>
      </c>
      <c r="E178" s="7">
        <v>9675.3635999999988</v>
      </c>
      <c r="F178" s="7">
        <v>7719.704999999999</v>
      </c>
      <c r="G178" s="8">
        <f>Tabla1[[#This Row],[Ingresos]]-Tabla1[[#This Row],[Gastos]]</f>
        <v>1955.6585999999998</v>
      </c>
      <c r="H178" s="13">
        <f>Tabla1[[#This Row],[Beneficio]]/Tabla1[[#This Row],[Ingresos]]</f>
        <v>0.20212765957446807</v>
      </c>
    </row>
    <row r="179" spans="1:8" x14ac:dyDescent="0.35">
      <c r="A179" s="2">
        <v>43223</v>
      </c>
      <c r="B179" t="s">
        <v>9</v>
      </c>
      <c r="C179" t="s">
        <v>13</v>
      </c>
      <c r="D179" t="s">
        <v>18</v>
      </c>
      <c r="E179" s="7">
        <v>25920.427679999997</v>
      </c>
      <c r="F179" s="7">
        <v>19837.062000000002</v>
      </c>
      <c r="G179" s="8">
        <f>Tabla1[[#This Row],[Ingresos]]-Tabla1[[#This Row],[Gastos]]</f>
        <v>6083.3656799999953</v>
      </c>
      <c r="H179" s="13">
        <f>Tabla1[[#This Row],[Beneficio]]/Tabla1[[#This Row],[Ingresos]]</f>
        <v>0.23469387755102025</v>
      </c>
    </row>
    <row r="180" spans="1:8" x14ac:dyDescent="0.35">
      <c r="A180" s="2">
        <v>43224</v>
      </c>
      <c r="B180" t="s">
        <v>7</v>
      </c>
      <c r="C180" t="s">
        <v>12</v>
      </c>
      <c r="D180" t="s">
        <v>16</v>
      </c>
      <c r="E180" s="7">
        <v>86198.538461538454</v>
      </c>
      <c r="F180" s="7">
        <v>81496.799999999988</v>
      </c>
      <c r="G180" s="8">
        <f>Tabla1[[#This Row],[Ingresos]]-Tabla1[[#This Row],[Gastos]]</f>
        <v>4701.7384615384653</v>
      </c>
      <c r="H180" s="13">
        <f>Tabla1[[#This Row],[Beneficio]]/Tabla1[[#This Row],[Ingresos]]</f>
        <v>5.4545454545454591E-2</v>
      </c>
    </row>
    <row r="181" spans="1:8" x14ac:dyDescent="0.35">
      <c r="A181" s="2">
        <v>43225</v>
      </c>
      <c r="B181" t="s">
        <v>7</v>
      </c>
      <c r="C181" t="s">
        <v>43</v>
      </c>
      <c r="D181" t="s">
        <v>15</v>
      </c>
      <c r="E181" s="7">
        <v>916.49171249999995</v>
      </c>
      <c r="F181" s="7">
        <v>671.42250000000001</v>
      </c>
      <c r="G181" s="8">
        <f>Tabla1[[#This Row],[Ingresos]]-Tabla1[[#This Row],[Gastos]]</f>
        <v>245.06921249999994</v>
      </c>
      <c r="H181" s="13">
        <f>Tabla1[[#This Row],[Beneficio]]/Tabla1[[#This Row],[Ingresos]]</f>
        <v>0.26739926739926734</v>
      </c>
    </row>
    <row r="182" spans="1:8" x14ac:dyDescent="0.35">
      <c r="A182" s="2">
        <v>43225</v>
      </c>
      <c r="B182" t="s">
        <v>8</v>
      </c>
      <c r="C182" t="s">
        <v>43</v>
      </c>
      <c r="D182" t="s">
        <v>16</v>
      </c>
      <c r="E182" s="7">
        <v>40656.807692307688</v>
      </c>
      <c r="F182" s="7">
        <v>35985.599999999999</v>
      </c>
      <c r="G182" s="8">
        <f>Tabla1[[#This Row],[Ingresos]]-Tabla1[[#This Row],[Gastos]]</f>
        <v>4671.2076923076893</v>
      </c>
      <c r="H182" s="13">
        <f>Tabla1[[#This Row],[Beneficio]]/Tabla1[[#This Row],[Ingresos]]</f>
        <v>0.11489361702127654</v>
      </c>
    </row>
    <row r="183" spans="1:8" x14ac:dyDescent="0.35">
      <c r="A183" s="2">
        <v>43225</v>
      </c>
      <c r="B183" t="s">
        <v>9</v>
      </c>
      <c r="C183" t="s">
        <v>10</v>
      </c>
      <c r="D183" t="s">
        <v>17</v>
      </c>
      <c r="E183" s="7">
        <v>16689.459780000001</v>
      </c>
      <c r="F183" s="7">
        <v>12548.466</v>
      </c>
      <c r="G183" s="8">
        <f>Tabla1[[#This Row],[Ingresos]]-Tabla1[[#This Row],[Gastos]]</f>
        <v>4140.9937800000007</v>
      </c>
      <c r="H183" s="13">
        <f>Tabla1[[#This Row],[Beneficio]]/Tabla1[[#This Row],[Ingresos]]</f>
        <v>0.24812030075187971</v>
      </c>
    </row>
    <row r="184" spans="1:8" x14ac:dyDescent="0.35">
      <c r="A184" s="2">
        <v>43225</v>
      </c>
      <c r="B184" t="s">
        <v>7</v>
      </c>
      <c r="C184" t="s">
        <v>10</v>
      </c>
      <c r="D184" t="s">
        <v>17</v>
      </c>
      <c r="E184" s="7">
        <v>257151.50999999998</v>
      </c>
      <c r="F184" s="7">
        <v>217075.94999999998</v>
      </c>
      <c r="G184" s="8">
        <f>Tabla1[[#This Row],[Ingresos]]-Tabla1[[#This Row],[Gastos]]</f>
        <v>40075.56</v>
      </c>
      <c r="H184" s="13">
        <f>Tabla1[[#This Row],[Beneficio]]/Tabla1[[#This Row],[Ingresos]]</f>
        <v>0.15584415584415584</v>
      </c>
    </row>
    <row r="185" spans="1:8" x14ac:dyDescent="0.35">
      <c r="A185" s="2">
        <v>43226</v>
      </c>
      <c r="B185" t="s">
        <v>6</v>
      </c>
      <c r="C185" t="s">
        <v>13</v>
      </c>
      <c r="D185" t="s">
        <v>15</v>
      </c>
      <c r="E185" s="7">
        <v>27869.524200000003</v>
      </c>
      <c r="F185" s="7">
        <v>19765.62</v>
      </c>
      <c r="G185" s="8">
        <f>Tabla1[[#This Row],[Ingresos]]-Tabla1[[#This Row],[Gastos]]</f>
        <v>8103.9042000000045</v>
      </c>
      <c r="H185" s="13">
        <f>Tabla1[[#This Row],[Beneficio]]/Tabla1[[#This Row],[Ingresos]]</f>
        <v>0.29078014184397177</v>
      </c>
    </row>
    <row r="186" spans="1:8" x14ac:dyDescent="0.35">
      <c r="A186" s="2">
        <v>43226</v>
      </c>
      <c r="B186" t="s">
        <v>6</v>
      </c>
      <c r="C186" t="s">
        <v>13</v>
      </c>
      <c r="D186" t="s">
        <v>16</v>
      </c>
      <c r="E186" s="7">
        <v>395931.64305288461</v>
      </c>
      <c r="F186" s="7">
        <v>354209.81400000001</v>
      </c>
      <c r="G186" s="8">
        <f>Tabla1[[#This Row],[Ingresos]]-Tabla1[[#This Row],[Gastos]]</f>
        <v>41721.829052884597</v>
      </c>
      <c r="H186" s="13">
        <f>Tabla1[[#This Row],[Beneficio]]/Tabla1[[#This Row],[Ingresos]]</f>
        <v>0.10537634408602146</v>
      </c>
    </row>
    <row r="187" spans="1:8" x14ac:dyDescent="0.35">
      <c r="A187" s="2">
        <v>43226</v>
      </c>
      <c r="B187" t="s">
        <v>9</v>
      </c>
      <c r="C187" t="s">
        <v>43</v>
      </c>
      <c r="D187" t="s">
        <v>17</v>
      </c>
      <c r="E187" s="7">
        <v>24099.768000000004</v>
      </c>
      <c r="F187" s="7">
        <v>12171.599999999999</v>
      </c>
      <c r="G187" s="8">
        <f>Tabla1[[#This Row],[Ingresos]]-Tabla1[[#This Row],[Gastos]]</f>
        <v>11928.168000000005</v>
      </c>
      <c r="H187" s="13">
        <f>Tabla1[[#This Row],[Beneficio]]/Tabla1[[#This Row],[Ingresos]]</f>
        <v>0.49494949494949508</v>
      </c>
    </row>
    <row r="188" spans="1:8" x14ac:dyDescent="0.35">
      <c r="A188" s="2">
        <v>43227</v>
      </c>
      <c r="B188" t="s">
        <v>6</v>
      </c>
      <c r="C188" t="s">
        <v>12</v>
      </c>
      <c r="D188" t="s">
        <v>19</v>
      </c>
      <c r="E188" s="7">
        <v>112218.75</v>
      </c>
      <c r="F188" s="7">
        <v>98437.5</v>
      </c>
      <c r="G188" s="8">
        <f>Tabla1[[#This Row],[Ingresos]]-Tabla1[[#This Row],[Gastos]]</f>
        <v>13781.25</v>
      </c>
      <c r="H188" s="13">
        <f>Tabla1[[#This Row],[Beneficio]]/Tabla1[[#This Row],[Ingresos]]</f>
        <v>0.12280701754385964</v>
      </c>
    </row>
    <row r="189" spans="1:8" x14ac:dyDescent="0.35">
      <c r="A189" s="2">
        <v>43227</v>
      </c>
      <c r="B189" t="s">
        <v>9</v>
      </c>
      <c r="C189" t="s">
        <v>11</v>
      </c>
      <c r="D189" t="s">
        <v>19</v>
      </c>
      <c r="E189" s="7">
        <v>191677.18499999997</v>
      </c>
      <c r="F189" s="7">
        <v>171753.75</v>
      </c>
      <c r="G189" s="8">
        <f>Tabla1[[#This Row],[Ingresos]]-Tabla1[[#This Row],[Gastos]]</f>
        <v>19923.434999999969</v>
      </c>
      <c r="H189" s="13">
        <f>Tabla1[[#This Row],[Beneficio]]/Tabla1[[#This Row],[Ingresos]]</f>
        <v>0.10394265232974896</v>
      </c>
    </row>
    <row r="190" spans="1:8" x14ac:dyDescent="0.35">
      <c r="A190" s="2">
        <v>43228</v>
      </c>
      <c r="B190" t="s">
        <v>7</v>
      </c>
      <c r="C190" t="s">
        <v>13</v>
      </c>
      <c r="D190" t="s">
        <v>15</v>
      </c>
      <c r="E190" s="7">
        <v>11976.400799999999</v>
      </c>
      <c r="F190" s="7">
        <v>8316.9449999999997</v>
      </c>
      <c r="G190" s="8">
        <f>Tabla1[[#This Row],[Ingresos]]-Tabla1[[#This Row],[Gastos]]</f>
        <v>3659.4557999999997</v>
      </c>
      <c r="H190" s="13">
        <f>Tabla1[[#This Row],[Beneficio]]/Tabla1[[#This Row],[Ingresos]]</f>
        <v>0.30555555555555552</v>
      </c>
    </row>
    <row r="191" spans="1:8" x14ac:dyDescent="0.35">
      <c r="A191" s="2">
        <v>43228</v>
      </c>
      <c r="B191" t="s">
        <v>6</v>
      </c>
      <c r="C191" t="s">
        <v>11</v>
      </c>
      <c r="D191" t="s">
        <v>17</v>
      </c>
      <c r="E191" s="7">
        <v>4886.8973999999998</v>
      </c>
      <c r="F191" s="7">
        <v>3794.1749999999997</v>
      </c>
      <c r="G191" s="8">
        <f>Tabla1[[#This Row],[Ingresos]]-Tabla1[[#This Row],[Gastos]]</f>
        <v>1092.7224000000001</v>
      </c>
      <c r="H191" s="13">
        <f>Tabla1[[#This Row],[Beneficio]]/Tabla1[[#This Row],[Ingresos]]</f>
        <v>0.22360248447204972</v>
      </c>
    </row>
    <row r="192" spans="1:8" x14ac:dyDescent="0.35">
      <c r="A192" s="2">
        <v>43228</v>
      </c>
      <c r="B192" t="s">
        <v>7</v>
      </c>
      <c r="C192" t="s">
        <v>12</v>
      </c>
      <c r="D192" t="s">
        <v>19</v>
      </c>
      <c r="E192" s="7">
        <v>46216.17</v>
      </c>
      <c r="F192" s="7">
        <v>38902.5</v>
      </c>
      <c r="G192" s="8">
        <f>Tabla1[[#This Row],[Ingresos]]-Tabla1[[#This Row],[Gastos]]</f>
        <v>7313.6699999999983</v>
      </c>
      <c r="H192" s="13">
        <f>Tabla1[[#This Row],[Beneficio]]/Tabla1[[#This Row],[Ingresos]]</f>
        <v>0.15824915824915822</v>
      </c>
    </row>
    <row r="193" spans="1:8" x14ac:dyDescent="0.35">
      <c r="A193" s="2">
        <v>43228</v>
      </c>
      <c r="B193" t="s">
        <v>8</v>
      </c>
      <c r="C193" t="s">
        <v>13</v>
      </c>
      <c r="D193" t="s">
        <v>19</v>
      </c>
      <c r="E193" s="7">
        <v>111544.02</v>
      </c>
      <c r="F193" s="7">
        <v>101036.25</v>
      </c>
      <c r="G193" s="8">
        <f>Tabla1[[#This Row],[Ingresos]]-Tabla1[[#This Row],[Gastos]]</f>
        <v>10507.770000000004</v>
      </c>
      <c r="H193" s="13">
        <f>Tabla1[[#This Row],[Beneficio]]/Tabla1[[#This Row],[Ingresos]]</f>
        <v>9.4202898550724667E-2</v>
      </c>
    </row>
    <row r="194" spans="1:8" x14ac:dyDescent="0.35">
      <c r="A194" s="2">
        <v>43228</v>
      </c>
      <c r="B194" t="s">
        <v>7</v>
      </c>
      <c r="C194" t="s">
        <v>12</v>
      </c>
      <c r="D194" t="s">
        <v>18</v>
      </c>
      <c r="E194" s="7">
        <v>2556.0360000000001</v>
      </c>
      <c r="F194" s="7">
        <v>1956.1499999999999</v>
      </c>
      <c r="G194" s="8">
        <f>Tabla1[[#This Row],[Ingresos]]-Tabla1[[#This Row],[Gastos]]</f>
        <v>599.88600000000019</v>
      </c>
      <c r="H194" s="13">
        <f>Tabla1[[#This Row],[Beneficio]]/Tabla1[[#This Row],[Ingresos]]</f>
        <v>0.23469387755102047</v>
      </c>
    </row>
    <row r="195" spans="1:8" x14ac:dyDescent="0.35">
      <c r="A195" s="2">
        <v>43229</v>
      </c>
      <c r="B195" t="s">
        <v>5</v>
      </c>
      <c r="C195" t="s">
        <v>43</v>
      </c>
      <c r="D195" t="s">
        <v>18</v>
      </c>
      <c r="E195" s="7">
        <v>709.11288000000002</v>
      </c>
      <c r="F195" s="7">
        <v>590.92739999999992</v>
      </c>
      <c r="G195" s="8">
        <f>Tabla1[[#This Row],[Ingresos]]-Tabla1[[#This Row],[Gastos]]</f>
        <v>118.1854800000001</v>
      </c>
      <c r="H195" s="13">
        <f>Tabla1[[#This Row],[Beneficio]]/Tabla1[[#This Row],[Ingresos]]</f>
        <v>0.1666666666666668</v>
      </c>
    </row>
    <row r="196" spans="1:8" x14ac:dyDescent="0.35">
      <c r="A196" s="2">
        <v>43230</v>
      </c>
      <c r="B196" t="s">
        <v>5</v>
      </c>
      <c r="C196" t="s">
        <v>11</v>
      </c>
      <c r="D196" t="s">
        <v>15</v>
      </c>
      <c r="E196" s="7">
        <v>26135.944380000004</v>
      </c>
      <c r="F196" s="7">
        <v>20260.422000000002</v>
      </c>
      <c r="G196" s="8">
        <f>Tabla1[[#This Row],[Ingresos]]-Tabla1[[#This Row],[Gastos]]</f>
        <v>5875.5223800000022</v>
      </c>
      <c r="H196" s="13">
        <f>Tabla1[[#This Row],[Beneficio]]/Tabla1[[#This Row],[Ingresos]]</f>
        <v>0.22480620155038764</v>
      </c>
    </row>
    <row r="197" spans="1:8" x14ac:dyDescent="0.35">
      <c r="A197" s="2">
        <v>43231</v>
      </c>
      <c r="B197" t="s">
        <v>6</v>
      </c>
      <c r="C197" t="s">
        <v>10</v>
      </c>
      <c r="D197" t="s">
        <v>18</v>
      </c>
      <c r="E197" s="7">
        <v>5840.0999999999995</v>
      </c>
      <c r="F197" s="7">
        <v>4380.0749999999998</v>
      </c>
      <c r="G197" s="8">
        <f>Tabla1[[#This Row],[Ingresos]]-Tabla1[[#This Row],[Gastos]]</f>
        <v>1460.0249999999996</v>
      </c>
      <c r="H197" s="13">
        <f>Tabla1[[#This Row],[Beneficio]]/Tabla1[[#This Row],[Ingresos]]</f>
        <v>0.24999999999999997</v>
      </c>
    </row>
    <row r="198" spans="1:8" x14ac:dyDescent="0.35">
      <c r="A198" s="2">
        <v>43231</v>
      </c>
      <c r="B198" t="s">
        <v>9</v>
      </c>
      <c r="C198" t="s">
        <v>11</v>
      </c>
      <c r="D198" t="s">
        <v>18</v>
      </c>
      <c r="E198" s="7">
        <v>16336.03356</v>
      </c>
      <c r="F198" s="7">
        <v>12502.066500000003</v>
      </c>
      <c r="G198" s="8">
        <f>Tabla1[[#This Row],[Ingresos]]-Tabla1[[#This Row],[Gastos]]</f>
        <v>3833.9670599999972</v>
      </c>
      <c r="H198" s="13">
        <f>Tabla1[[#This Row],[Beneficio]]/Tabla1[[#This Row],[Ingresos]]</f>
        <v>0.23469387755102025</v>
      </c>
    </row>
    <row r="199" spans="1:8" x14ac:dyDescent="0.35">
      <c r="A199" s="2">
        <v>43232</v>
      </c>
      <c r="B199" t="s">
        <v>7</v>
      </c>
      <c r="C199" t="s">
        <v>10</v>
      </c>
      <c r="D199" t="s">
        <v>17</v>
      </c>
      <c r="E199" s="7">
        <v>6835.7520000000004</v>
      </c>
      <c r="F199" s="7">
        <v>3883.95</v>
      </c>
      <c r="G199" s="8">
        <f>Tabla1[[#This Row],[Ingresos]]-Tabla1[[#This Row],[Gastos]]</f>
        <v>2951.8020000000006</v>
      </c>
      <c r="H199" s="13">
        <f>Tabla1[[#This Row],[Beneficio]]/Tabla1[[#This Row],[Ingresos]]</f>
        <v>0.43181818181818188</v>
      </c>
    </row>
    <row r="200" spans="1:8" x14ac:dyDescent="0.35">
      <c r="A200" s="2">
        <v>43232</v>
      </c>
      <c r="B200" t="s">
        <v>9</v>
      </c>
      <c r="C200" t="s">
        <v>11</v>
      </c>
      <c r="D200" t="s">
        <v>18</v>
      </c>
      <c r="E200" s="7">
        <v>3142.5407999999998</v>
      </c>
      <c r="F200" s="7">
        <v>2455.11</v>
      </c>
      <c r="G200" s="8">
        <f>Tabla1[[#This Row],[Ingresos]]-Tabla1[[#This Row],[Gastos]]</f>
        <v>687.43079999999964</v>
      </c>
      <c r="H200" s="13">
        <f>Tabla1[[#This Row],[Beneficio]]/Tabla1[[#This Row],[Ingresos]]</f>
        <v>0.21874999999999989</v>
      </c>
    </row>
    <row r="201" spans="1:8" x14ac:dyDescent="0.35">
      <c r="A201" s="2">
        <v>43233</v>
      </c>
      <c r="B201" t="s">
        <v>7</v>
      </c>
      <c r="C201" t="s">
        <v>11</v>
      </c>
      <c r="D201" t="s">
        <v>17</v>
      </c>
      <c r="E201" s="7">
        <v>9507.9600000000009</v>
      </c>
      <c r="F201" s="7">
        <v>5402.25</v>
      </c>
      <c r="G201" s="8">
        <f>Tabla1[[#This Row],[Ingresos]]-Tabla1[[#This Row],[Gastos]]</f>
        <v>4105.7100000000009</v>
      </c>
      <c r="H201" s="13">
        <f>Tabla1[[#This Row],[Beneficio]]/Tabla1[[#This Row],[Ingresos]]</f>
        <v>0.43181818181818188</v>
      </c>
    </row>
    <row r="202" spans="1:8" x14ac:dyDescent="0.35">
      <c r="A202" s="2">
        <v>43234</v>
      </c>
      <c r="B202" t="s">
        <v>5</v>
      </c>
      <c r="C202" t="s">
        <v>43</v>
      </c>
      <c r="D202" t="s">
        <v>16</v>
      </c>
      <c r="E202" s="7">
        <v>111121.09615384616</v>
      </c>
      <c r="F202" s="7">
        <v>107503.2</v>
      </c>
      <c r="G202" s="8">
        <f>Tabla1[[#This Row],[Ingresos]]-Tabla1[[#This Row],[Gastos]]</f>
        <v>3617.896153846159</v>
      </c>
      <c r="H202" s="13">
        <f>Tabla1[[#This Row],[Beneficio]]/Tabla1[[#This Row],[Ingresos]]</f>
        <v>3.2558139534883769E-2</v>
      </c>
    </row>
    <row r="203" spans="1:8" x14ac:dyDescent="0.35">
      <c r="A203" s="2">
        <v>43235</v>
      </c>
      <c r="B203" t="s">
        <v>5</v>
      </c>
      <c r="C203" t="s">
        <v>12</v>
      </c>
      <c r="D203" t="s">
        <v>19</v>
      </c>
      <c r="E203" s="7">
        <v>82082.7</v>
      </c>
      <c r="F203" s="7">
        <v>79537.5</v>
      </c>
      <c r="G203" s="8">
        <f>Tabla1[[#This Row],[Ingresos]]-Tabla1[[#This Row],[Gastos]]</f>
        <v>2545.1999999999971</v>
      </c>
      <c r="H203" s="13">
        <f>Tabla1[[#This Row],[Beneficio]]/Tabla1[[#This Row],[Ingresos]]</f>
        <v>3.1007751937984461E-2</v>
      </c>
    </row>
    <row r="204" spans="1:8" x14ac:dyDescent="0.35">
      <c r="A204" s="2">
        <v>43236</v>
      </c>
      <c r="B204" t="s">
        <v>9</v>
      </c>
      <c r="C204" t="s">
        <v>43</v>
      </c>
      <c r="D204" t="s">
        <v>17</v>
      </c>
      <c r="E204" s="7">
        <v>5209.6432499999992</v>
      </c>
      <c r="F204" s="7">
        <v>3917.0249999999996</v>
      </c>
      <c r="G204" s="8">
        <f>Tabla1[[#This Row],[Ingresos]]-Tabla1[[#This Row],[Gastos]]</f>
        <v>1292.6182499999995</v>
      </c>
      <c r="H204" s="13">
        <f>Tabla1[[#This Row],[Beneficio]]/Tabla1[[#This Row],[Ingresos]]</f>
        <v>0.24812030075187966</v>
      </c>
    </row>
    <row r="205" spans="1:8" x14ac:dyDescent="0.35">
      <c r="A205" s="2">
        <v>43237</v>
      </c>
      <c r="B205" t="s">
        <v>5</v>
      </c>
      <c r="C205" t="s">
        <v>10</v>
      </c>
      <c r="D205" t="s">
        <v>17</v>
      </c>
      <c r="E205" s="7">
        <v>9668.4839999999986</v>
      </c>
      <c r="F205" s="7">
        <v>4932.8999999999996</v>
      </c>
      <c r="G205" s="8">
        <f>Tabla1[[#This Row],[Ingresos]]-Tabla1[[#This Row],[Gastos]]</f>
        <v>4735.5839999999989</v>
      </c>
      <c r="H205" s="13">
        <f>Tabla1[[#This Row],[Beneficio]]/Tabla1[[#This Row],[Ingresos]]</f>
        <v>0.48979591836734693</v>
      </c>
    </row>
    <row r="206" spans="1:8" x14ac:dyDescent="0.35">
      <c r="A206" s="2">
        <v>43238</v>
      </c>
      <c r="B206" t="s">
        <v>9</v>
      </c>
      <c r="C206" t="s">
        <v>10</v>
      </c>
      <c r="D206" t="s">
        <v>17</v>
      </c>
      <c r="E206" s="7">
        <v>6856.59555</v>
      </c>
      <c r="F206" s="7">
        <v>4033.2914999999998</v>
      </c>
      <c r="G206" s="8">
        <f>Tabla1[[#This Row],[Ingresos]]-Tabla1[[#This Row],[Gastos]]</f>
        <v>2823.3040500000002</v>
      </c>
      <c r="H206" s="13">
        <f>Tabla1[[#This Row],[Beneficio]]/Tabla1[[#This Row],[Ingresos]]</f>
        <v>0.41176470588235298</v>
      </c>
    </row>
    <row r="207" spans="1:8" x14ac:dyDescent="0.35">
      <c r="A207" s="2">
        <v>43238</v>
      </c>
      <c r="B207" t="s">
        <v>6</v>
      </c>
      <c r="C207" t="s">
        <v>43</v>
      </c>
      <c r="D207" t="s">
        <v>18</v>
      </c>
      <c r="E207" s="7">
        <v>10727.64</v>
      </c>
      <c r="F207" s="7">
        <v>8045.73</v>
      </c>
      <c r="G207" s="8">
        <f>Tabla1[[#This Row],[Ingresos]]-Tabla1[[#This Row],[Gastos]]</f>
        <v>2681.91</v>
      </c>
      <c r="H207" s="13">
        <f>Tabla1[[#This Row],[Beneficio]]/Tabla1[[#This Row],[Ingresos]]</f>
        <v>0.25</v>
      </c>
    </row>
    <row r="208" spans="1:8" x14ac:dyDescent="0.35">
      <c r="A208" s="2">
        <v>43239</v>
      </c>
      <c r="B208" t="s">
        <v>8</v>
      </c>
      <c r="C208" t="s">
        <v>13</v>
      </c>
      <c r="D208" t="s">
        <v>15</v>
      </c>
      <c r="E208" s="7">
        <v>6635.6954999999998</v>
      </c>
      <c r="F208" s="7">
        <v>5143.95</v>
      </c>
      <c r="G208" s="8">
        <f>Tabla1[[#This Row],[Ingresos]]-Tabla1[[#This Row],[Gastos]]</f>
        <v>1491.7455</v>
      </c>
      <c r="H208" s="13">
        <f>Tabla1[[#This Row],[Beneficio]]/Tabla1[[#This Row],[Ingresos]]</f>
        <v>0.22480620155038761</v>
      </c>
    </row>
    <row r="209" spans="1:8" x14ac:dyDescent="0.35">
      <c r="A209" s="2">
        <v>43239</v>
      </c>
      <c r="B209" t="s">
        <v>9</v>
      </c>
      <c r="C209" t="s">
        <v>12</v>
      </c>
      <c r="D209" t="s">
        <v>16</v>
      </c>
      <c r="E209" s="7">
        <v>102939.12259615384</v>
      </c>
      <c r="F209" s="7">
        <v>90153</v>
      </c>
      <c r="G209" s="8">
        <f>Tabla1[[#This Row],[Ingresos]]-Tabla1[[#This Row],[Gastos]]</f>
        <v>12786.122596153844</v>
      </c>
      <c r="H209" s="13">
        <f>Tabla1[[#This Row],[Beneficio]]/Tabla1[[#This Row],[Ingresos]]</f>
        <v>0.12421052631578945</v>
      </c>
    </row>
    <row r="210" spans="1:8" x14ac:dyDescent="0.35">
      <c r="A210" s="2">
        <v>43239</v>
      </c>
      <c r="B210" t="s">
        <v>7</v>
      </c>
      <c r="C210" t="s">
        <v>43</v>
      </c>
      <c r="D210" t="s">
        <v>19</v>
      </c>
      <c r="E210" s="7">
        <v>156235.52699999997</v>
      </c>
      <c r="F210" s="7">
        <v>141517.6875</v>
      </c>
      <c r="G210" s="8">
        <f>Tabla1[[#This Row],[Ingresos]]-Tabla1[[#This Row],[Gastos]]</f>
        <v>14717.839499999973</v>
      </c>
      <c r="H210" s="13">
        <f>Tabla1[[#This Row],[Beneficio]]/Tabla1[[#This Row],[Ingresos]]</f>
        <v>9.4202898550724473E-2</v>
      </c>
    </row>
    <row r="211" spans="1:8" x14ac:dyDescent="0.35">
      <c r="A211" s="2">
        <v>43240</v>
      </c>
      <c r="B211" t="s">
        <v>7</v>
      </c>
      <c r="C211" t="s">
        <v>13</v>
      </c>
      <c r="D211" t="s">
        <v>17</v>
      </c>
      <c r="E211" s="7">
        <v>1202.2244324999999</v>
      </c>
      <c r="F211" s="7">
        <v>943.66125</v>
      </c>
      <c r="G211" s="8">
        <f>Tabla1[[#This Row],[Ingresos]]-Tabla1[[#This Row],[Gastos]]</f>
        <v>258.56318249999993</v>
      </c>
      <c r="H211" s="13">
        <f>Tabla1[[#This Row],[Beneficio]]/Tabla1[[#This Row],[Ingresos]]</f>
        <v>0.21507064364207218</v>
      </c>
    </row>
    <row r="212" spans="1:8" x14ac:dyDescent="0.35">
      <c r="A212" s="2">
        <v>43242</v>
      </c>
      <c r="B212" t="s">
        <v>9</v>
      </c>
      <c r="C212" t="s">
        <v>12</v>
      </c>
      <c r="D212" t="s">
        <v>17</v>
      </c>
      <c r="E212" s="7">
        <v>281517.201</v>
      </c>
      <c r="F212" s="7">
        <v>232363.40399999995</v>
      </c>
      <c r="G212" s="8">
        <f>Tabla1[[#This Row],[Ingresos]]-Tabla1[[#This Row],[Gastos]]</f>
        <v>49153.79700000005</v>
      </c>
      <c r="H212" s="13">
        <f>Tabla1[[#This Row],[Beneficio]]/Tabla1[[#This Row],[Ingresos]]</f>
        <v>0.17460317460317479</v>
      </c>
    </row>
    <row r="213" spans="1:8" x14ac:dyDescent="0.35">
      <c r="A213" s="2">
        <v>43243</v>
      </c>
      <c r="B213" t="s">
        <v>6</v>
      </c>
      <c r="C213" t="s">
        <v>11</v>
      </c>
      <c r="D213" t="s">
        <v>19</v>
      </c>
      <c r="E213" s="7">
        <v>98694.854999999996</v>
      </c>
      <c r="F213" s="7">
        <v>88436.25</v>
      </c>
      <c r="G213" s="8">
        <f>Tabla1[[#This Row],[Ingresos]]-Tabla1[[#This Row],[Gastos]]</f>
        <v>10258.604999999996</v>
      </c>
      <c r="H213" s="13">
        <f>Tabla1[[#This Row],[Beneficio]]/Tabla1[[#This Row],[Ingresos]]</f>
        <v>0.10394265232974907</v>
      </c>
    </row>
    <row r="214" spans="1:8" x14ac:dyDescent="0.35">
      <c r="A214" s="2">
        <v>43244</v>
      </c>
      <c r="B214" t="s">
        <v>6</v>
      </c>
      <c r="C214" t="s">
        <v>12</v>
      </c>
      <c r="D214" t="s">
        <v>17</v>
      </c>
      <c r="E214" s="7">
        <v>4357.6312499999995</v>
      </c>
      <c r="F214" s="7">
        <v>3346.875</v>
      </c>
      <c r="G214" s="8">
        <f>Tabla1[[#This Row],[Ingresos]]-Tabla1[[#This Row],[Gastos]]</f>
        <v>1010.7562499999995</v>
      </c>
      <c r="H214" s="13">
        <f>Tabla1[[#This Row],[Beneficio]]/Tabla1[[#This Row],[Ingresos]]</f>
        <v>0.23195084485407055</v>
      </c>
    </row>
    <row r="215" spans="1:8" x14ac:dyDescent="0.35">
      <c r="A215" s="2">
        <v>43244</v>
      </c>
      <c r="B215" t="s">
        <v>9</v>
      </c>
      <c r="C215" t="s">
        <v>10</v>
      </c>
      <c r="D215" t="s">
        <v>17</v>
      </c>
      <c r="E215" s="7">
        <v>163593.71279999998</v>
      </c>
      <c r="F215" s="7">
        <v>126590.37300000001</v>
      </c>
      <c r="G215" s="8">
        <f>Tabla1[[#This Row],[Ingresos]]-Tabla1[[#This Row],[Gastos]]</f>
        <v>37003.339799999972</v>
      </c>
      <c r="H215" s="13">
        <f>Tabla1[[#This Row],[Beneficio]]/Tabla1[[#This Row],[Ingresos]]</f>
        <v>0.22619047619047605</v>
      </c>
    </row>
    <row r="216" spans="1:8" x14ac:dyDescent="0.35">
      <c r="A216" s="2">
        <v>43244</v>
      </c>
      <c r="B216" t="s">
        <v>7</v>
      </c>
      <c r="C216" t="s">
        <v>11</v>
      </c>
      <c r="D216" t="s">
        <v>18</v>
      </c>
      <c r="E216" s="7">
        <v>9467.7659999999996</v>
      </c>
      <c r="F216" s="7">
        <v>7718.2874999999995</v>
      </c>
      <c r="G216" s="8">
        <f>Tabla1[[#This Row],[Ingresos]]-Tabla1[[#This Row],[Gastos]]</f>
        <v>1749.4785000000002</v>
      </c>
      <c r="H216" s="13">
        <f>Tabla1[[#This Row],[Beneficio]]/Tabla1[[#This Row],[Ingresos]]</f>
        <v>0.18478260869565219</v>
      </c>
    </row>
    <row r="217" spans="1:8" x14ac:dyDescent="0.35">
      <c r="A217" s="2">
        <v>43245</v>
      </c>
      <c r="B217" t="s">
        <v>6</v>
      </c>
      <c r="C217" t="s">
        <v>11</v>
      </c>
      <c r="D217" t="s">
        <v>18</v>
      </c>
      <c r="E217" s="7">
        <v>10176.16446</v>
      </c>
      <c r="F217" s="7">
        <v>7709.2155000000002</v>
      </c>
      <c r="G217" s="8">
        <f>Tabla1[[#This Row],[Ingresos]]-Tabla1[[#This Row],[Gastos]]</f>
        <v>2466.9489599999997</v>
      </c>
      <c r="H217" s="13">
        <f>Tabla1[[#This Row],[Beneficio]]/Tabla1[[#This Row],[Ingresos]]</f>
        <v>0.2424242424242424</v>
      </c>
    </row>
    <row r="218" spans="1:8" x14ac:dyDescent="0.35">
      <c r="A218" s="2">
        <v>43246</v>
      </c>
      <c r="B218" t="s">
        <v>5</v>
      </c>
      <c r="C218" t="s">
        <v>10</v>
      </c>
      <c r="D218" t="s">
        <v>17</v>
      </c>
      <c r="E218" s="7">
        <v>63051.974999999999</v>
      </c>
      <c r="F218" s="7">
        <v>49303.799999999996</v>
      </c>
      <c r="G218" s="8">
        <f>Tabla1[[#This Row],[Ingresos]]-Tabla1[[#This Row],[Gastos]]</f>
        <v>13748.175000000003</v>
      </c>
      <c r="H218" s="13">
        <f>Tabla1[[#This Row],[Beneficio]]/Tabla1[[#This Row],[Ingresos]]</f>
        <v>0.21804511278195493</v>
      </c>
    </row>
    <row r="219" spans="1:8" x14ac:dyDescent="0.35">
      <c r="A219" s="2">
        <v>43246</v>
      </c>
      <c r="B219" t="s">
        <v>5</v>
      </c>
      <c r="C219" t="s">
        <v>43</v>
      </c>
      <c r="D219" t="s">
        <v>18</v>
      </c>
      <c r="E219" s="7">
        <v>1313.172</v>
      </c>
      <c r="F219" s="7">
        <v>1094.31</v>
      </c>
      <c r="G219" s="8">
        <f>Tabla1[[#This Row],[Ingresos]]-Tabla1[[#This Row],[Gastos]]</f>
        <v>218.86200000000008</v>
      </c>
      <c r="H219" s="13">
        <f>Tabla1[[#This Row],[Beneficio]]/Tabla1[[#This Row],[Ingresos]]</f>
        <v>0.16666666666666671</v>
      </c>
    </row>
    <row r="220" spans="1:8" x14ac:dyDescent="0.35">
      <c r="A220" s="2">
        <v>43246</v>
      </c>
      <c r="B220" t="s">
        <v>9</v>
      </c>
      <c r="C220" t="s">
        <v>13</v>
      </c>
      <c r="D220" t="s">
        <v>18</v>
      </c>
      <c r="E220" s="7">
        <v>9108.2123999999985</v>
      </c>
      <c r="F220" s="7">
        <v>7190.6939999999995</v>
      </c>
      <c r="G220" s="8">
        <f>Tabla1[[#This Row],[Ingresos]]-Tabla1[[#This Row],[Gastos]]</f>
        <v>1917.518399999999</v>
      </c>
      <c r="H220" s="13">
        <f>Tabla1[[#This Row],[Beneficio]]/Tabla1[[#This Row],[Ingresos]]</f>
        <v>0.21052631578947362</v>
      </c>
    </row>
    <row r="221" spans="1:8" x14ac:dyDescent="0.35">
      <c r="A221" s="2">
        <v>43247</v>
      </c>
      <c r="B221" t="s">
        <v>7</v>
      </c>
      <c r="C221" t="s">
        <v>12</v>
      </c>
      <c r="D221" t="s">
        <v>17</v>
      </c>
      <c r="E221" s="7">
        <v>175599.58499999999</v>
      </c>
      <c r="F221" s="7">
        <v>134479.79999999999</v>
      </c>
      <c r="G221" s="8">
        <f>Tabla1[[#This Row],[Ingresos]]-Tabla1[[#This Row],[Gastos]]</f>
        <v>41119.785000000003</v>
      </c>
      <c r="H221" s="13">
        <f>Tabla1[[#This Row],[Beneficio]]/Tabla1[[#This Row],[Ingresos]]</f>
        <v>0.23416789396170842</v>
      </c>
    </row>
    <row r="222" spans="1:8" x14ac:dyDescent="0.35">
      <c r="A222" s="2">
        <v>43249</v>
      </c>
      <c r="B222" t="s">
        <v>9</v>
      </c>
      <c r="C222" t="s">
        <v>10</v>
      </c>
      <c r="D222" t="s">
        <v>17</v>
      </c>
      <c r="E222" s="7">
        <v>10404.954</v>
      </c>
      <c r="F222" s="7">
        <v>5534.5499999999993</v>
      </c>
      <c r="G222" s="8">
        <f>Tabla1[[#This Row],[Ingresos]]-Tabla1[[#This Row],[Gastos]]</f>
        <v>4870.4040000000005</v>
      </c>
      <c r="H222" s="13">
        <f>Tabla1[[#This Row],[Beneficio]]/Tabla1[[#This Row],[Ingresos]]</f>
        <v>0.46808510638297879</v>
      </c>
    </row>
    <row r="223" spans="1:8" x14ac:dyDescent="0.35">
      <c r="A223" s="2">
        <v>43250</v>
      </c>
      <c r="B223" t="s">
        <v>7</v>
      </c>
      <c r="C223" t="s">
        <v>11</v>
      </c>
      <c r="D223" t="s">
        <v>18</v>
      </c>
      <c r="E223" s="7">
        <v>4781.7</v>
      </c>
      <c r="F223" s="7">
        <v>3898.1249999999995</v>
      </c>
      <c r="G223" s="8">
        <f>Tabla1[[#This Row],[Ingresos]]-Tabla1[[#This Row],[Gastos]]</f>
        <v>883.57500000000027</v>
      </c>
      <c r="H223" s="13">
        <f>Tabla1[[#This Row],[Beneficio]]/Tabla1[[#This Row],[Ingresos]]</f>
        <v>0.18478260869565225</v>
      </c>
    </row>
    <row r="224" spans="1:8" x14ac:dyDescent="0.35">
      <c r="A224" s="2">
        <v>43251</v>
      </c>
      <c r="B224" t="s">
        <v>9</v>
      </c>
      <c r="C224" t="s">
        <v>10</v>
      </c>
      <c r="D224" t="s">
        <v>15</v>
      </c>
      <c r="E224" s="7">
        <v>2594.0249999999996</v>
      </c>
      <c r="F224" s="7">
        <v>1729.35</v>
      </c>
      <c r="G224" s="8">
        <f>Tabla1[[#This Row],[Ingresos]]-Tabla1[[#This Row],[Gastos]]</f>
        <v>864.67499999999973</v>
      </c>
      <c r="H224" s="13">
        <f>Tabla1[[#This Row],[Beneficio]]/Tabla1[[#This Row],[Ingresos]]</f>
        <v>0.33333333333333326</v>
      </c>
    </row>
    <row r="225" spans="1:8" x14ac:dyDescent="0.35">
      <c r="A225" s="2">
        <v>43251</v>
      </c>
      <c r="B225" t="s">
        <v>5</v>
      </c>
      <c r="C225" t="s">
        <v>13</v>
      </c>
      <c r="D225" t="s">
        <v>18</v>
      </c>
      <c r="E225" s="7">
        <v>19190.300975999999</v>
      </c>
      <c r="F225" s="7">
        <v>14538.1068</v>
      </c>
      <c r="G225" s="8">
        <f>Tabla1[[#This Row],[Ingresos]]-Tabla1[[#This Row],[Gastos]]</f>
        <v>4652.1941759999991</v>
      </c>
      <c r="H225" s="13">
        <f>Tabla1[[#This Row],[Beneficio]]/Tabla1[[#This Row],[Ingresos]]</f>
        <v>0.2424242424242424</v>
      </c>
    </row>
    <row r="226" spans="1:8" x14ac:dyDescent="0.35">
      <c r="A226" s="2">
        <v>43251</v>
      </c>
      <c r="B226" t="s">
        <v>6</v>
      </c>
      <c r="C226" t="s">
        <v>43</v>
      </c>
      <c r="D226" t="s">
        <v>18</v>
      </c>
      <c r="E226" s="7">
        <v>1429.1121600000001</v>
      </c>
      <c r="F226" s="7">
        <v>1204.308</v>
      </c>
      <c r="G226" s="8">
        <f>Tabla1[[#This Row],[Ingresos]]-Tabla1[[#This Row],[Gastos]]</f>
        <v>224.80416000000014</v>
      </c>
      <c r="H226" s="13">
        <f>Tabla1[[#This Row],[Beneficio]]/Tabla1[[#This Row],[Ingresos]]</f>
        <v>0.15730337078651693</v>
      </c>
    </row>
    <row r="227" spans="1:8" x14ac:dyDescent="0.35">
      <c r="A227" s="2">
        <v>43252</v>
      </c>
      <c r="B227" t="s">
        <v>9</v>
      </c>
      <c r="C227" t="s">
        <v>12</v>
      </c>
      <c r="D227" t="s">
        <v>17</v>
      </c>
      <c r="E227" s="7">
        <v>15727.634999999998</v>
      </c>
      <c r="F227" s="7">
        <v>8835.75</v>
      </c>
      <c r="G227" s="8">
        <f>Tabla1[[#This Row],[Ingresos]]-Tabla1[[#This Row],[Gastos]]</f>
        <v>6891.8849999999984</v>
      </c>
      <c r="H227" s="13">
        <f>Tabla1[[#This Row],[Beneficio]]/Tabla1[[#This Row],[Ingresos]]</f>
        <v>0.4382022471910112</v>
      </c>
    </row>
    <row r="228" spans="1:8" x14ac:dyDescent="0.35">
      <c r="A228" s="2">
        <v>43253</v>
      </c>
      <c r="B228" t="s">
        <v>5</v>
      </c>
      <c r="C228" t="s">
        <v>11</v>
      </c>
      <c r="D228" t="s">
        <v>15</v>
      </c>
      <c r="E228" s="7">
        <v>52761.47625</v>
      </c>
      <c r="F228" s="7">
        <v>40430.25</v>
      </c>
      <c r="G228" s="8">
        <f>Tabla1[[#This Row],[Ingresos]]-Tabla1[[#This Row],[Gastos]]</f>
        <v>12331.22625</v>
      </c>
      <c r="H228" s="13">
        <f>Tabla1[[#This Row],[Beneficio]]/Tabla1[[#This Row],[Ingresos]]</f>
        <v>0.23371647509578544</v>
      </c>
    </row>
    <row r="229" spans="1:8" x14ac:dyDescent="0.35">
      <c r="A229" s="2">
        <v>43253</v>
      </c>
      <c r="B229" t="s">
        <v>7</v>
      </c>
      <c r="C229" t="s">
        <v>13</v>
      </c>
      <c r="D229" t="s">
        <v>17</v>
      </c>
      <c r="E229" s="7">
        <v>335578.94999999995</v>
      </c>
      <c r="F229" s="7">
        <v>262407.59999999998</v>
      </c>
      <c r="G229" s="8">
        <f>Tabla1[[#This Row],[Ingresos]]-Tabla1[[#This Row],[Gastos]]</f>
        <v>73171.349999999977</v>
      </c>
      <c r="H229" s="13">
        <f>Tabla1[[#This Row],[Beneficio]]/Tabla1[[#This Row],[Ingresos]]</f>
        <v>0.21804511278195485</v>
      </c>
    </row>
    <row r="230" spans="1:8" x14ac:dyDescent="0.35">
      <c r="A230" s="2">
        <v>43253</v>
      </c>
      <c r="B230" t="s">
        <v>6</v>
      </c>
      <c r="C230" t="s">
        <v>10</v>
      </c>
      <c r="D230" t="s">
        <v>19</v>
      </c>
      <c r="E230" s="7">
        <v>63157.184999999998</v>
      </c>
      <c r="F230" s="7">
        <v>54258.75</v>
      </c>
      <c r="G230" s="8">
        <f>Tabla1[[#This Row],[Ingresos]]-Tabla1[[#This Row],[Gastos]]</f>
        <v>8898.4349999999977</v>
      </c>
      <c r="H230" s="13">
        <f>Tabla1[[#This Row],[Beneficio]]/Tabla1[[#This Row],[Ingresos]]</f>
        <v>0.14089347079037798</v>
      </c>
    </row>
    <row r="231" spans="1:8" x14ac:dyDescent="0.35">
      <c r="A231" s="2">
        <v>43254</v>
      </c>
      <c r="B231" t="s">
        <v>6</v>
      </c>
      <c r="C231" t="s">
        <v>11</v>
      </c>
      <c r="D231" t="s">
        <v>15</v>
      </c>
      <c r="E231" s="7">
        <v>7139.5562699999991</v>
      </c>
      <c r="F231" s="7">
        <v>5173.5914999999995</v>
      </c>
      <c r="G231" s="8">
        <f>Tabla1[[#This Row],[Ingresos]]-Tabla1[[#This Row],[Gastos]]</f>
        <v>1965.9647699999996</v>
      </c>
      <c r="H231" s="13">
        <f>Tabla1[[#This Row],[Beneficio]]/Tabla1[[#This Row],[Ingresos]]</f>
        <v>0.27536231884057971</v>
      </c>
    </row>
    <row r="232" spans="1:8" x14ac:dyDescent="0.35">
      <c r="A232" s="2">
        <v>43254</v>
      </c>
      <c r="B232" t="s">
        <v>5</v>
      </c>
      <c r="C232" t="s">
        <v>11</v>
      </c>
      <c r="D232" t="s">
        <v>17</v>
      </c>
      <c r="E232" s="7">
        <v>1122.3670500000001</v>
      </c>
      <c r="F232" s="7">
        <v>843.88499999999988</v>
      </c>
      <c r="G232" s="8">
        <f>Tabla1[[#This Row],[Ingresos]]-Tabla1[[#This Row],[Gastos]]</f>
        <v>278.48205000000019</v>
      </c>
      <c r="H232" s="13">
        <f>Tabla1[[#This Row],[Beneficio]]/Tabla1[[#This Row],[Ingresos]]</f>
        <v>0.24812030075187985</v>
      </c>
    </row>
    <row r="233" spans="1:8" x14ac:dyDescent="0.35">
      <c r="A233" s="2">
        <v>43255</v>
      </c>
      <c r="B233" t="s">
        <v>9</v>
      </c>
      <c r="C233" t="s">
        <v>13</v>
      </c>
      <c r="D233" t="s">
        <v>15</v>
      </c>
      <c r="E233" s="7">
        <v>40090.868999999999</v>
      </c>
      <c r="F233" s="7">
        <v>29696.940000000002</v>
      </c>
      <c r="G233" s="8">
        <f>Tabla1[[#This Row],[Ingresos]]-Tabla1[[#This Row],[Gastos]]</f>
        <v>10393.928999999996</v>
      </c>
      <c r="H233" s="13">
        <f>Tabla1[[#This Row],[Beneficio]]/Tabla1[[#This Row],[Ingresos]]</f>
        <v>0.25925925925925919</v>
      </c>
    </row>
    <row r="234" spans="1:8" x14ac:dyDescent="0.35">
      <c r="A234" s="2">
        <v>43255</v>
      </c>
      <c r="B234" t="s">
        <v>7</v>
      </c>
      <c r="C234" t="s">
        <v>43</v>
      </c>
      <c r="D234" t="s">
        <v>17</v>
      </c>
      <c r="E234" s="7">
        <v>5017.32</v>
      </c>
      <c r="F234" s="7">
        <v>2850.75</v>
      </c>
      <c r="G234" s="8">
        <f>Tabla1[[#This Row],[Ingresos]]-Tabla1[[#This Row],[Gastos]]</f>
        <v>2166.5699999999997</v>
      </c>
      <c r="H234" s="13">
        <f>Tabla1[[#This Row],[Beneficio]]/Tabla1[[#This Row],[Ingresos]]</f>
        <v>0.43181818181818177</v>
      </c>
    </row>
    <row r="235" spans="1:8" x14ac:dyDescent="0.35">
      <c r="A235" s="2">
        <v>43256</v>
      </c>
      <c r="B235" t="s">
        <v>8</v>
      </c>
      <c r="C235" t="s">
        <v>10</v>
      </c>
      <c r="D235" t="s">
        <v>17</v>
      </c>
      <c r="E235" s="7">
        <v>12649.845977999999</v>
      </c>
      <c r="F235" s="7">
        <v>9126.8729999999996</v>
      </c>
      <c r="G235" s="8">
        <f>Tabla1[[#This Row],[Ingresos]]-Tabla1[[#This Row],[Gastos]]</f>
        <v>3522.9729779999998</v>
      </c>
      <c r="H235" s="13">
        <f>Tabla1[[#This Row],[Beneficio]]/Tabla1[[#This Row],[Ingresos]]</f>
        <v>0.27849927849927847</v>
      </c>
    </row>
    <row r="236" spans="1:8" x14ac:dyDescent="0.35">
      <c r="A236" s="2">
        <v>43259</v>
      </c>
      <c r="B236" t="s">
        <v>9</v>
      </c>
      <c r="C236" t="s">
        <v>12</v>
      </c>
      <c r="D236" t="s">
        <v>16</v>
      </c>
      <c r="E236" s="7">
        <v>98702.069711538454</v>
      </c>
      <c r="F236" s="7">
        <v>92269.799999999988</v>
      </c>
      <c r="G236" s="8">
        <f>Tabla1[[#This Row],[Ingresos]]-Tabla1[[#This Row],[Gastos]]</f>
        <v>6432.2697115384653</v>
      </c>
      <c r="H236" s="13">
        <f>Tabla1[[#This Row],[Beneficio]]/Tabla1[[#This Row],[Ingresos]]</f>
        <v>6.5168539325842739E-2</v>
      </c>
    </row>
    <row r="237" spans="1:8" x14ac:dyDescent="0.35">
      <c r="A237" s="2">
        <v>43260</v>
      </c>
      <c r="B237" t="s">
        <v>7</v>
      </c>
      <c r="C237" t="s">
        <v>13</v>
      </c>
      <c r="D237" t="s">
        <v>17</v>
      </c>
      <c r="E237" s="7">
        <v>3947.6555999999996</v>
      </c>
      <c r="F237" s="7">
        <v>3064.95</v>
      </c>
      <c r="G237" s="8">
        <f>Tabla1[[#This Row],[Ingresos]]-Tabla1[[#This Row],[Gastos]]</f>
        <v>882.70559999999978</v>
      </c>
      <c r="H237" s="13">
        <f>Tabla1[[#This Row],[Beneficio]]/Tabla1[[#This Row],[Ingresos]]</f>
        <v>0.22360248447204967</v>
      </c>
    </row>
    <row r="238" spans="1:8" x14ac:dyDescent="0.35">
      <c r="A238" s="2">
        <v>43260</v>
      </c>
      <c r="B238" t="s">
        <v>9</v>
      </c>
      <c r="C238" t="s">
        <v>43</v>
      </c>
      <c r="D238" t="s">
        <v>17</v>
      </c>
      <c r="E238" s="7">
        <v>14349.157199999998</v>
      </c>
      <c r="F238" s="7">
        <v>7552.1879999999992</v>
      </c>
      <c r="G238" s="8">
        <f>Tabla1[[#This Row],[Ingresos]]-Tabla1[[#This Row],[Gastos]]</f>
        <v>6796.9691999999986</v>
      </c>
      <c r="H238" s="13">
        <f>Tabla1[[#This Row],[Beneficio]]/Tabla1[[#This Row],[Ingresos]]</f>
        <v>0.47368421052631576</v>
      </c>
    </row>
    <row r="239" spans="1:8" x14ac:dyDescent="0.35">
      <c r="A239" s="2">
        <v>43260</v>
      </c>
      <c r="B239" t="s">
        <v>7</v>
      </c>
      <c r="C239" t="s">
        <v>43</v>
      </c>
      <c r="D239" t="s">
        <v>19</v>
      </c>
      <c r="E239" s="7">
        <v>55206.899999999994</v>
      </c>
      <c r="F239" s="7">
        <v>50006.25</v>
      </c>
      <c r="G239" s="8">
        <f>Tabla1[[#This Row],[Ingresos]]-Tabla1[[#This Row],[Gastos]]</f>
        <v>5200.6499999999942</v>
      </c>
      <c r="H239" s="13">
        <f>Tabla1[[#This Row],[Beneficio]]/Tabla1[[#This Row],[Ingresos]]</f>
        <v>9.4202898550724543E-2</v>
      </c>
    </row>
    <row r="240" spans="1:8" x14ac:dyDescent="0.35">
      <c r="A240" s="2">
        <v>43261</v>
      </c>
      <c r="B240" t="s">
        <v>5</v>
      </c>
      <c r="C240" t="s">
        <v>10</v>
      </c>
      <c r="D240" t="s">
        <v>18</v>
      </c>
      <c r="E240" s="7">
        <v>10765.19808</v>
      </c>
      <c r="F240" s="7">
        <v>8872.4159999999993</v>
      </c>
      <c r="G240" s="8">
        <f>Tabla1[[#This Row],[Ingresos]]-Tabla1[[#This Row],[Gastos]]</f>
        <v>1892.7820800000009</v>
      </c>
      <c r="H240" s="13">
        <f>Tabla1[[#This Row],[Beneficio]]/Tabla1[[#This Row],[Ingresos]]</f>
        <v>0.17582417582417589</v>
      </c>
    </row>
    <row r="241" spans="1:8" x14ac:dyDescent="0.35">
      <c r="A241" s="2">
        <v>43262</v>
      </c>
      <c r="B241" t="s">
        <v>7</v>
      </c>
      <c r="C241" t="s">
        <v>13</v>
      </c>
      <c r="D241" t="s">
        <v>19</v>
      </c>
      <c r="E241" s="7">
        <v>515038.27724999998</v>
      </c>
      <c r="F241" s="7">
        <v>451787.96249999997</v>
      </c>
      <c r="G241" s="8">
        <f>Tabla1[[#This Row],[Ingresos]]-Tabla1[[#This Row],[Gastos]]</f>
        <v>63250.31475000002</v>
      </c>
      <c r="H241" s="13">
        <f>Tabla1[[#This Row],[Beneficio]]/Tabla1[[#This Row],[Ingresos]]</f>
        <v>0.12280701754385968</v>
      </c>
    </row>
    <row r="242" spans="1:8" x14ac:dyDescent="0.35">
      <c r="A242" s="2">
        <v>43263</v>
      </c>
      <c r="B242" t="s">
        <v>7</v>
      </c>
      <c r="C242" t="s">
        <v>10</v>
      </c>
      <c r="D242" t="s">
        <v>17</v>
      </c>
      <c r="E242" s="7">
        <v>872470.87200000009</v>
      </c>
      <c r="F242" s="7">
        <v>675126.2699999999</v>
      </c>
      <c r="G242" s="8">
        <f>Tabla1[[#This Row],[Ingresos]]-Tabla1[[#This Row],[Gastos]]</f>
        <v>197344.60200000019</v>
      </c>
      <c r="H242" s="13">
        <f>Tabla1[[#This Row],[Beneficio]]/Tabla1[[#This Row],[Ingresos]]</f>
        <v>0.22619047619047639</v>
      </c>
    </row>
    <row r="243" spans="1:8" x14ac:dyDescent="0.35">
      <c r="A243" s="2">
        <v>43263</v>
      </c>
      <c r="B243" t="s">
        <v>8</v>
      </c>
      <c r="C243" t="s">
        <v>13</v>
      </c>
      <c r="D243" t="s">
        <v>18</v>
      </c>
      <c r="E243" s="7">
        <v>8729.7209999999995</v>
      </c>
      <c r="F243" s="7">
        <v>6891.8850000000002</v>
      </c>
      <c r="G243" s="8">
        <f>Tabla1[[#This Row],[Ingresos]]-Tabla1[[#This Row],[Gastos]]</f>
        <v>1837.8359999999993</v>
      </c>
      <c r="H243" s="13">
        <f>Tabla1[[#This Row],[Beneficio]]/Tabla1[[#This Row],[Ingresos]]</f>
        <v>0.21052631578947362</v>
      </c>
    </row>
    <row r="244" spans="1:8" x14ac:dyDescent="0.35">
      <c r="A244" s="2">
        <v>43263</v>
      </c>
      <c r="B244" t="s">
        <v>7</v>
      </c>
      <c r="C244" t="s">
        <v>10</v>
      </c>
      <c r="D244" t="s">
        <v>18</v>
      </c>
      <c r="E244" s="7">
        <v>1348.3259999999998</v>
      </c>
      <c r="F244" s="7">
        <v>1162.3499999999999</v>
      </c>
      <c r="G244" s="8">
        <f>Tabla1[[#This Row],[Ingresos]]-Tabla1[[#This Row],[Gastos]]</f>
        <v>185.97599999999989</v>
      </c>
      <c r="H244" s="13">
        <f>Tabla1[[#This Row],[Beneficio]]/Tabla1[[#This Row],[Ingresos]]</f>
        <v>0.13793103448275856</v>
      </c>
    </row>
    <row r="245" spans="1:8" x14ac:dyDescent="0.35">
      <c r="A245" s="2">
        <v>43264</v>
      </c>
      <c r="B245" t="s">
        <v>9</v>
      </c>
      <c r="C245" t="s">
        <v>10</v>
      </c>
      <c r="D245" t="s">
        <v>15</v>
      </c>
      <c r="E245" s="7">
        <v>5343.691499999999</v>
      </c>
      <c r="F245" s="7">
        <v>3562.4609999999993</v>
      </c>
      <c r="G245" s="8">
        <f>Tabla1[[#This Row],[Ingresos]]-Tabla1[[#This Row],[Gastos]]</f>
        <v>1781.2304999999997</v>
      </c>
      <c r="H245" s="13">
        <f>Tabla1[[#This Row],[Beneficio]]/Tabla1[[#This Row],[Ingresos]]</f>
        <v>0.33333333333333331</v>
      </c>
    </row>
    <row r="246" spans="1:8" x14ac:dyDescent="0.35">
      <c r="A246" s="2">
        <v>43265</v>
      </c>
      <c r="B246" t="s">
        <v>8</v>
      </c>
      <c r="C246" t="s">
        <v>43</v>
      </c>
      <c r="D246" t="s">
        <v>15</v>
      </c>
      <c r="E246" s="7">
        <v>10036.844999999999</v>
      </c>
      <c r="F246" s="7">
        <v>7780.4999999999991</v>
      </c>
      <c r="G246" s="8">
        <f>Tabla1[[#This Row],[Ingresos]]-Tabla1[[#This Row],[Gastos]]</f>
        <v>2256.3450000000003</v>
      </c>
      <c r="H246" s="13">
        <f>Tabla1[[#This Row],[Beneficio]]/Tabla1[[#This Row],[Ingresos]]</f>
        <v>0.22480620155038764</v>
      </c>
    </row>
    <row r="247" spans="1:8" x14ac:dyDescent="0.35">
      <c r="A247" s="2">
        <v>43265</v>
      </c>
      <c r="B247" t="s">
        <v>8</v>
      </c>
      <c r="C247" t="s">
        <v>12</v>
      </c>
      <c r="D247" t="s">
        <v>16</v>
      </c>
      <c r="E247" s="7">
        <v>2122.6153846153848</v>
      </c>
      <c r="F247" s="7">
        <v>919.8</v>
      </c>
      <c r="G247" s="8">
        <f>Tabla1[[#This Row],[Ingresos]]-Tabla1[[#This Row],[Gastos]]</f>
        <v>1202.8153846153848</v>
      </c>
      <c r="H247" s="13">
        <f>Tabla1[[#This Row],[Beneficio]]/Tabla1[[#This Row],[Ingresos]]</f>
        <v>0.56666666666666676</v>
      </c>
    </row>
    <row r="248" spans="1:8" x14ac:dyDescent="0.35">
      <c r="A248" s="2">
        <v>43266</v>
      </c>
      <c r="B248" t="s">
        <v>8</v>
      </c>
      <c r="C248" t="s">
        <v>10</v>
      </c>
      <c r="D248" t="s">
        <v>16</v>
      </c>
      <c r="E248" s="7">
        <v>69505.204326923078</v>
      </c>
      <c r="F248" s="7">
        <v>62180.999999999993</v>
      </c>
      <c r="G248" s="8">
        <f>Tabla1[[#This Row],[Ingresos]]-Tabla1[[#This Row],[Gastos]]</f>
        <v>7324.2043269230853</v>
      </c>
      <c r="H248" s="13">
        <f>Tabla1[[#This Row],[Beneficio]]/Tabla1[[#This Row],[Ingresos]]</f>
        <v>0.10537634408602163</v>
      </c>
    </row>
    <row r="249" spans="1:8" x14ac:dyDescent="0.35">
      <c r="A249" s="2">
        <v>43267</v>
      </c>
      <c r="B249" t="s">
        <v>7</v>
      </c>
      <c r="C249" t="s">
        <v>43</v>
      </c>
      <c r="D249" t="s">
        <v>17</v>
      </c>
      <c r="E249" s="7">
        <v>17993.717280000001</v>
      </c>
      <c r="F249" s="7">
        <v>13250.159999999998</v>
      </c>
      <c r="G249" s="8">
        <f>Tabla1[[#This Row],[Ingresos]]-Tabla1[[#This Row],[Gastos]]</f>
        <v>4743.5572800000027</v>
      </c>
      <c r="H249" s="13">
        <f>Tabla1[[#This Row],[Beneficio]]/Tabla1[[#This Row],[Ingresos]]</f>
        <v>0.26362297496318127</v>
      </c>
    </row>
    <row r="250" spans="1:8" x14ac:dyDescent="0.35">
      <c r="A250" s="2">
        <v>43267</v>
      </c>
      <c r="B250" t="s">
        <v>9</v>
      </c>
      <c r="C250" t="s">
        <v>12</v>
      </c>
      <c r="D250" t="s">
        <v>18</v>
      </c>
      <c r="E250" s="7">
        <v>6766.0865999999996</v>
      </c>
      <c r="F250" s="7">
        <v>5576.4449999999997</v>
      </c>
      <c r="G250" s="8">
        <f>Tabla1[[#This Row],[Ingresos]]-Tabla1[[#This Row],[Gastos]]</f>
        <v>1189.6415999999999</v>
      </c>
      <c r="H250" s="13">
        <f>Tabla1[[#This Row],[Beneficio]]/Tabla1[[#This Row],[Ingresos]]</f>
        <v>0.17582417582417581</v>
      </c>
    </row>
    <row r="251" spans="1:8" x14ac:dyDescent="0.35">
      <c r="A251" s="2">
        <v>43269</v>
      </c>
      <c r="B251" t="s">
        <v>6</v>
      </c>
      <c r="C251" t="s">
        <v>11</v>
      </c>
      <c r="D251" t="s">
        <v>18</v>
      </c>
      <c r="E251" s="7">
        <v>17034.74955</v>
      </c>
      <c r="F251" s="7">
        <v>14039.628749999998</v>
      </c>
      <c r="G251" s="8">
        <f>Tabla1[[#This Row],[Ingresos]]-Tabla1[[#This Row],[Gastos]]</f>
        <v>2995.1208000000024</v>
      </c>
      <c r="H251" s="13">
        <f>Tabla1[[#This Row],[Beneficio]]/Tabla1[[#This Row],[Ingresos]]</f>
        <v>0.17582417582417595</v>
      </c>
    </row>
    <row r="252" spans="1:8" x14ac:dyDescent="0.35">
      <c r="A252" s="2">
        <v>43270</v>
      </c>
      <c r="B252" t="s">
        <v>5</v>
      </c>
      <c r="C252" t="s">
        <v>43</v>
      </c>
      <c r="D252" t="s">
        <v>18</v>
      </c>
      <c r="E252" s="7">
        <v>4230.4247999999998</v>
      </c>
      <c r="F252" s="7">
        <v>3237.57</v>
      </c>
      <c r="G252" s="8">
        <f>Tabla1[[#This Row],[Ingresos]]-Tabla1[[#This Row],[Gastos]]</f>
        <v>992.85479999999961</v>
      </c>
      <c r="H252" s="13">
        <f>Tabla1[[#This Row],[Beneficio]]/Tabla1[[#This Row],[Ingresos]]</f>
        <v>0.23469387755102034</v>
      </c>
    </row>
    <row r="253" spans="1:8" x14ac:dyDescent="0.35">
      <c r="A253" s="2">
        <v>43272</v>
      </c>
      <c r="B253" t="s">
        <v>8</v>
      </c>
      <c r="C253" t="s">
        <v>43</v>
      </c>
      <c r="D253" t="s">
        <v>17</v>
      </c>
      <c r="E253" s="7">
        <v>3244.1282999999999</v>
      </c>
      <c r="F253" s="7">
        <v>2491.6499999999996</v>
      </c>
      <c r="G253" s="8">
        <f>Tabla1[[#This Row],[Ingresos]]-Tabla1[[#This Row],[Gastos]]</f>
        <v>752.47830000000022</v>
      </c>
      <c r="H253" s="13">
        <f>Tabla1[[#This Row],[Beneficio]]/Tabla1[[#This Row],[Ingresos]]</f>
        <v>0.23195084485407075</v>
      </c>
    </row>
    <row r="254" spans="1:8" x14ac:dyDescent="0.35">
      <c r="A254" s="2">
        <v>43272</v>
      </c>
      <c r="B254" t="s">
        <v>7</v>
      </c>
      <c r="C254" t="s">
        <v>13</v>
      </c>
      <c r="D254" t="s">
        <v>17</v>
      </c>
      <c r="E254" s="7">
        <v>116132.94</v>
      </c>
      <c r="F254" s="7">
        <v>98034.299999999988</v>
      </c>
      <c r="G254" s="8">
        <f>Tabla1[[#This Row],[Ingresos]]-Tabla1[[#This Row],[Gastos]]</f>
        <v>18098.640000000014</v>
      </c>
      <c r="H254" s="13">
        <f>Tabla1[[#This Row],[Beneficio]]/Tabla1[[#This Row],[Ingresos]]</f>
        <v>0.15584415584415595</v>
      </c>
    </row>
    <row r="255" spans="1:8" x14ac:dyDescent="0.35">
      <c r="A255" s="2">
        <v>43272</v>
      </c>
      <c r="B255" t="s">
        <v>5</v>
      </c>
      <c r="C255" t="s">
        <v>10</v>
      </c>
      <c r="D255" t="s">
        <v>17</v>
      </c>
      <c r="E255" s="7">
        <v>5681.3147999999992</v>
      </c>
      <c r="F255" s="7">
        <v>4718.7</v>
      </c>
      <c r="G255" s="8">
        <f>Tabla1[[#This Row],[Ingresos]]-Tabla1[[#This Row],[Gastos]]</f>
        <v>962.61479999999938</v>
      </c>
      <c r="H255" s="13">
        <f>Tabla1[[#This Row],[Beneficio]]/Tabla1[[#This Row],[Ingresos]]</f>
        <v>0.16943521594684377</v>
      </c>
    </row>
    <row r="256" spans="1:8" x14ac:dyDescent="0.35">
      <c r="A256" s="2">
        <v>43272</v>
      </c>
      <c r="B256" t="s">
        <v>6</v>
      </c>
      <c r="C256" t="s">
        <v>43</v>
      </c>
      <c r="D256" t="s">
        <v>19</v>
      </c>
      <c r="E256" s="7">
        <v>168648.47999999998</v>
      </c>
      <c r="F256" s="7">
        <v>146396.25</v>
      </c>
      <c r="G256" s="8">
        <f>Tabla1[[#This Row],[Ingresos]]-Tabla1[[#This Row],[Gastos]]</f>
        <v>22252.229999999981</v>
      </c>
      <c r="H256" s="13">
        <f>Tabla1[[#This Row],[Beneficio]]/Tabla1[[#This Row],[Ingresos]]</f>
        <v>0.13194444444444434</v>
      </c>
    </row>
    <row r="257" spans="1:8" x14ac:dyDescent="0.35">
      <c r="A257" s="2">
        <v>43273</v>
      </c>
      <c r="B257" t="s">
        <v>9</v>
      </c>
      <c r="C257" t="s">
        <v>12</v>
      </c>
      <c r="D257" t="s">
        <v>19</v>
      </c>
      <c r="E257" s="7">
        <v>150738.31080000001</v>
      </c>
      <c r="F257" s="7">
        <v>136538.32499999998</v>
      </c>
      <c r="G257" s="8">
        <f>Tabla1[[#This Row],[Ingresos]]-Tabla1[[#This Row],[Gastos]]</f>
        <v>14199.985800000024</v>
      </c>
      <c r="H257" s="13">
        <f>Tabla1[[#This Row],[Beneficio]]/Tabla1[[#This Row],[Ingresos]]</f>
        <v>9.4202898550724792E-2</v>
      </c>
    </row>
    <row r="258" spans="1:8" x14ac:dyDescent="0.35">
      <c r="A258" s="2">
        <v>43274</v>
      </c>
      <c r="B258" t="s">
        <v>8</v>
      </c>
      <c r="C258" t="s">
        <v>10</v>
      </c>
      <c r="D258" t="s">
        <v>17</v>
      </c>
      <c r="E258" s="7">
        <v>735.76440000000002</v>
      </c>
      <c r="F258" s="7">
        <v>611.09999999999991</v>
      </c>
      <c r="G258" s="8">
        <f>Tabla1[[#This Row],[Ingresos]]-Tabla1[[#This Row],[Gastos]]</f>
        <v>124.66440000000011</v>
      </c>
      <c r="H258" s="13">
        <f>Tabla1[[#This Row],[Beneficio]]/Tabla1[[#This Row],[Ingresos]]</f>
        <v>0.16943521594684399</v>
      </c>
    </row>
    <row r="259" spans="1:8" x14ac:dyDescent="0.35">
      <c r="A259" s="2">
        <v>43275</v>
      </c>
      <c r="B259" t="s">
        <v>6</v>
      </c>
      <c r="C259" t="s">
        <v>13</v>
      </c>
      <c r="D259" t="s">
        <v>17</v>
      </c>
      <c r="E259" s="7">
        <v>8487.8639999999996</v>
      </c>
      <c r="F259" s="7">
        <v>4822.6499999999996</v>
      </c>
      <c r="G259" s="8">
        <f>Tabla1[[#This Row],[Ingresos]]-Tabla1[[#This Row],[Gastos]]</f>
        <v>3665.2139999999999</v>
      </c>
      <c r="H259" s="13">
        <f>Tabla1[[#This Row],[Beneficio]]/Tabla1[[#This Row],[Ingresos]]</f>
        <v>0.43181818181818182</v>
      </c>
    </row>
    <row r="260" spans="1:8" x14ac:dyDescent="0.35">
      <c r="A260" s="2">
        <v>43277</v>
      </c>
      <c r="B260" t="s">
        <v>5</v>
      </c>
      <c r="C260" t="s">
        <v>11</v>
      </c>
      <c r="D260" t="s">
        <v>17</v>
      </c>
      <c r="E260" s="7">
        <v>10723.863150000001</v>
      </c>
      <c r="F260" s="7">
        <v>8063.0549999999994</v>
      </c>
      <c r="G260" s="8">
        <f>Tabla1[[#This Row],[Ingresos]]-Tabla1[[#This Row],[Gastos]]</f>
        <v>2660.8081500000017</v>
      </c>
      <c r="H260" s="13">
        <f>Tabla1[[#This Row],[Beneficio]]/Tabla1[[#This Row],[Ingresos]]</f>
        <v>0.24812030075187982</v>
      </c>
    </row>
    <row r="261" spans="1:8" x14ac:dyDescent="0.35">
      <c r="A261" s="2">
        <v>43279</v>
      </c>
      <c r="B261" t="s">
        <v>9</v>
      </c>
      <c r="C261" t="s">
        <v>11</v>
      </c>
      <c r="D261" t="s">
        <v>15</v>
      </c>
      <c r="E261" s="7">
        <v>29571.423840000007</v>
      </c>
      <c r="F261" s="7">
        <v>21428.567999999996</v>
      </c>
      <c r="G261" s="8">
        <f>Tabla1[[#This Row],[Ingresos]]-Tabla1[[#This Row],[Gastos]]</f>
        <v>8142.8558400000111</v>
      </c>
      <c r="H261" s="13">
        <f>Tabla1[[#This Row],[Beneficio]]/Tabla1[[#This Row],[Ingresos]]</f>
        <v>0.27536231884058004</v>
      </c>
    </row>
    <row r="262" spans="1:8" x14ac:dyDescent="0.35">
      <c r="A262" s="2">
        <v>43279</v>
      </c>
      <c r="B262" t="s">
        <v>6</v>
      </c>
      <c r="C262" t="s">
        <v>11</v>
      </c>
      <c r="D262" t="s">
        <v>17</v>
      </c>
      <c r="E262" s="7">
        <v>2221.317</v>
      </c>
      <c r="F262" s="7">
        <v>1724.625</v>
      </c>
      <c r="G262" s="8">
        <f>Tabla1[[#This Row],[Ingresos]]-Tabla1[[#This Row],[Gastos]]</f>
        <v>496.69200000000001</v>
      </c>
      <c r="H262" s="13">
        <f>Tabla1[[#This Row],[Beneficio]]/Tabla1[[#This Row],[Ingresos]]</f>
        <v>0.2236024844720497</v>
      </c>
    </row>
    <row r="263" spans="1:8" x14ac:dyDescent="0.35">
      <c r="A263" s="2">
        <v>43279</v>
      </c>
      <c r="B263" t="s">
        <v>8</v>
      </c>
      <c r="C263" t="s">
        <v>12</v>
      </c>
      <c r="D263" t="s">
        <v>17</v>
      </c>
      <c r="E263" s="7">
        <v>48404.931750000003</v>
      </c>
      <c r="F263" s="7">
        <v>39953.276999999995</v>
      </c>
      <c r="G263" s="8">
        <f>Tabla1[[#This Row],[Ingresos]]-Tabla1[[#This Row],[Gastos]]</f>
        <v>8451.6547500000088</v>
      </c>
      <c r="H263" s="13">
        <f>Tabla1[[#This Row],[Beneficio]]/Tabla1[[#This Row],[Ingresos]]</f>
        <v>0.17460317460317476</v>
      </c>
    </row>
    <row r="264" spans="1:8" x14ac:dyDescent="0.35">
      <c r="A264" s="2">
        <v>43280</v>
      </c>
      <c r="B264" t="s">
        <v>6</v>
      </c>
      <c r="C264" t="s">
        <v>43</v>
      </c>
      <c r="D264" t="s">
        <v>16</v>
      </c>
      <c r="E264" s="7">
        <v>54659.663221153845</v>
      </c>
      <c r="F264" s="7">
        <v>46883.34</v>
      </c>
      <c r="G264" s="8">
        <f>Tabla1[[#This Row],[Ingresos]]-Tabla1[[#This Row],[Gastos]]</f>
        <v>7776.3232211538489</v>
      </c>
      <c r="H264" s="13">
        <f>Tabla1[[#This Row],[Beneficio]]/Tabla1[[#This Row],[Ingresos]]</f>
        <v>0.14226804123711345</v>
      </c>
    </row>
    <row r="265" spans="1:8" x14ac:dyDescent="0.35">
      <c r="A265" s="2">
        <v>43280</v>
      </c>
      <c r="B265" t="s">
        <v>5</v>
      </c>
      <c r="C265" t="s">
        <v>10</v>
      </c>
      <c r="D265" t="s">
        <v>19</v>
      </c>
      <c r="E265" s="7">
        <v>778531.65390000003</v>
      </c>
      <c r="F265" s="7">
        <v>754391.13749999995</v>
      </c>
      <c r="G265" s="8">
        <f>Tabla1[[#This Row],[Ingresos]]-Tabla1[[#This Row],[Gastos]]</f>
        <v>24140.51640000008</v>
      </c>
      <c r="H265" s="13">
        <f>Tabla1[[#This Row],[Beneficio]]/Tabla1[[#This Row],[Ingresos]]</f>
        <v>3.10077519379846E-2</v>
      </c>
    </row>
    <row r="266" spans="1:8" x14ac:dyDescent="0.35">
      <c r="A266" s="2">
        <v>43280</v>
      </c>
      <c r="B266" t="s">
        <v>8</v>
      </c>
      <c r="C266" t="s">
        <v>43</v>
      </c>
      <c r="D266" t="s">
        <v>18</v>
      </c>
      <c r="E266" s="7">
        <v>4797.1980000000003</v>
      </c>
      <c r="F266" s="7">
        <v>3671.3249999999998</v>
      </c>
      <c r="G266" s="8">
        <f>Tabla1[[#This Row],[Ingresos]]-Tabla1[[#This Row],[Gastos]]</f>
        <v>1125.8730000000005</v>
      </c>
      <c r="H266" s="13">
        <f>Tabla1[[#This Row],[Beneficio]]/Tabla1[[#This Row],[Ingresos]]</f>
        <v>0.2346938775510205</v>
      </c>
    </row>
    <row r="267" spans="1:8" x14ac:dyDescent="0.35">
      <c r="A267" s="2">
        <v>43281</v>
      </c>
      <c r="B267" t="s">
        <v>5</v>
      </c>
      <c r="C267" t="s">
        <v>13</v>
      </c>
      <c r="D267" t="s">
        <v>19</v>
      </c>
      <c r="E267" s="7">
        <v>195104.69999999998</v>
      </c>
      <c r="F267" s="7">
        <v>180652.5</v>
      </c>
      <c r="G267" s="8">
        <f>Tabla1[[#This Row],[Ingresos]]-Tabla1[[#This Row],[Gastos]]</f>
        <v>14452.199999999983</v>
      </c>
      <c r="H267" s="13">
        <f>Tabla1[[#This Row],[Beneficio]]/Tabla1[[#This Row],[Ingresos]]</f>
        <v>7.4074074074073987E-2</v>
      </c>
    </row>
    <row r="268" spans="1:8" x14ac:dyDescent="0.35">
      <c r="A268" s="2">
        <v>43282</v>
      </c>
      <c r="B268" t="s">
        <v>7</v>
      </c>
      <c r="C268" t="s">
        <v>12</v>
      </c>
      <c r="D268" t="s">
        <v>18</v>
      </c>
      <c r="E268" s="7">
        <v>8851.5504000000001</v>
      </c>
      <c r="F268" s="7">
        <v>7543.9350000000004</v>
      </c>
      <c r="G268" s="8">
        <f>Tabla1[[#This Row],[Ingresos]]-Tabla1[[#This Row],[Gastos]]</f>
        <v>1307.6153999999997</v>
      </c>
      <c r="H268" s="13">
        <f>Tabla1[[#This Row],[Beneficio]]/Tabla1[[#This Row],[Ingresos]]</f>
        <v>0.14772727272727268</v>
      </c>
    </row>
    <row r="269" spans="1:8" x14ac:dyDescent="0.35">
      <c r="A269" s="2">
        <v>43283</v>
      </c>
      <c r="B269" t="s">
        <v>7</v>
      </c>
      <c r="C269" t="s">
        <v>43</v>
      </c>
      <c r="D269" t="s">
        <v>17</v>
      </c>
      <c r="E269" s="7">
        <v>3764.3759999999997</v>
      </c>
      <c r="F269" s="7">
        <v>2772</v>
      </c>
      <c r="G269" s="8">
        <f>Tabla1[[#This Row],[Ingresos]]-Tabla1[[#This Row],[Gastos]]</f>
        <v>992.37599999999975</v>
      </c>
      <c r="H269" s="13">
        <f>Tabla1[[#This Row],[Beneficio]]/Tabla1[[#This Row],[Ingresos]]</f>
        <v>0.2636229749631811</v>
      </c>
    </row>
    <row r="270" spans="1:8" x14ac:dyDescent="0.35">
      <c r="A270" s="2">
        <v>43284</v>
      </c>
      <c r="B270" t="s">
        <v>8</v>
      </c>
      <c r="C270" t="s">
        <v>12</v>
      </c>
      <c r="D270" t="s">
        <v>16</v>
      </c>
      <c r="E270" s="7">
        <v>33059.098557692305</v>
      </c>
      <c r="F270" s="7">
        <v>28066.5</v>
      </c>
      <c r="G270" s="8">
        <f>Tabla1[[#This Row],[Ingresos]]-Tabla1[[#This Row],[Gastos]]</f>
        <v>4992.5985576923049</v>
      </c>
      <c r="H270" s="13">
        <f>Tabla1[[#This Row],[Beneficio]]/Tabla1[[#This Row],[Ingresos]]</f>
        <v>0.15102040816326523</v>
      </c>
    </row>
    <row r="271" spans="1:8" x14ac:dyDescent="0.35">
      <c r="A271" s="2">
        <v>43284</v>
      </c>
      <c r="B271" t="s">
        <v>6</v>
      </c>
      <c r="C271" t="s">
        <v>13</v>
      </c>
      <c r="D271" t="s">
        <v>16</v>
      </c>
      <c r="E271" s="7">
        <v>232944.81706730768</v>
      </c>
      <c r="F271" s="7">
        <v>228011.86800000002</v>
      </c>
      <c r="G271" s="8">
        <f>Tabla1[[#This Row],[Ingresos]]-Tabla1[[#This Row],[Gastos]]</f>
        <v>4932.9490673076652</v>
      </c>
      <c r="H271" s="13">
        <f>Tabla1[[#This Row],[Beneficio]]/Tabla1[[#This Row],[Ingresos]]</f>
        <v>2.1176470588235179E-2</v>
      </c>
    </row>
    <row r="272" spans="1:8" x14ac:dyDescent="0.35">
      <c r="A272" s="2">
        <v>43284</v>
      </c>
      <c r="B272" t="s">
        <v>5</v>
      </c>
      <c r="C272" t="s">
        <v>12</v>
      </c>
      <c r="D272" t="s">
        <v>18</v>
      </c>
      <c r="E272" s="7">
        <v>7138.8702000000003</v>
      </c>
      <c r="F272" s="7">
        <v>5519.7449999999999</v>
      </c>
      <c r="G272" s="8">
        <f>Tabla1[[#This Row],[Ingresos]]-Tabla1[[#This Row],[Gastos]]</f>
        <v>1619.1252000000004</v>
      </c>
      <c r="H272" s="13">
        <f>Tabla1[[#This Row],[Beneficio]]/Tabla1[[#This Row],[Ingresos]]</f>
        <v>0.22680412371134026</v>
      </c>
    </row>
    <row r="273" spans="1:8" x14ac:dyDescent="0.35">
      <c r="A273" s="2">
        <v>43285</v>
      </c>
      <c r="B273" t="s">
        <v>9</v>
      </c>
      <c r="C273" t="s">
        <v>43</v>
      </c>
      <c r="D273" t="s">
        <v>17</v>
      </c>
      <c r="E273" s="7">
        <v>39569.767650000002</v>
      </c>
      <c r="F273" s="7">
        <v>20826.193499999998</v>
      </c>
      <c r="G273" s="8">
        <f>Tabla1[[#This Row],[Ingresos]]-Tabla1[[#This Row],[Gastos]]</f>
        <v>18743.574150000004</v>
      </c>
      <c r="H273" s="13">
        <f>Tabla1[[#This Row],[Beneficio]]/Tabla1[[#This Row],[Ingresos]]</f>
        <v>0.47368421052631587</v>
      </c>
    </row>
    <row r="274" spans="1:8" x14ac:dyDescent="0.35">
      <c r="A274" s="2">
        <v>43286</v>
      </c>
      <c r="B274" t="s">
        <v>7</v>
      </c>
      <c r="C274" t="s">
        <v>10</v>
      </c>
      <c r="D274" t="s">
        <v>18</v>
      </c>
      <c r="E274" s="7">
        <v>6813.0583919999999</v>
      </c>
      <c r="F274" s="7">
        <v>5873.3261999999995</v>
      </c>
      <c r="G274" s="8">
        <f>Tabla1[[#This Row],[Ingresos]]-Tabla1[[#This Row],[Gastos]]</f>
        <v>939.7321920000004</v>
      </c>
      <c r="H274" s="13">
        <f>Tabla1[[#This Row],[Beneficio]]/Tabla1[[#This Row],[Ingresos]]</f>
        <v>0.13793103448275867</v>
      </c>
    </row>
    <row r="275" spans="1:8" x14ac:dyDescent="0.35">
      <c r="A275" s="2">
        <v>43287</v>
      </c>
      <c r="B275" t="s">
        <v>5</v>
      </c>
      <c r="C275" t="s">
        <v>43</v>
      </c>
      <c r="D275" t="s">
        <v>16</v>
      </c>
      <c r="E275" s="7">
        <v>140884.50721153844</v>
      </c>
      <c r="F275" s="7">
        <v>130239.9</v>
      </c>
      <c r="G275" s="8">
        <f>Tabla1[[#This Row],[Ingresos]]-Tabla1[[#This Row],[Gastos]]</f>
        <v>10644.607211538445</v>
      </c>
      <c r="H275" s="13">
        <f>Tabla1[[#This Row],[Beneficio]]/Tabla1[[#This Row],[Ingresos]]</f>
        <v>7.5555555555555445E-2</v>
      </c>
    </row>
    <row r="276" spans="1:8" x14ac:dyDescent="0.35">
      <c r="A276" s="2">
        <v>43287</v>
      </c>
      <c r="B276" t="s">
        <v>5</v>
      </c>
      <c r="C276" t="s">
        <v>12</v>
      </c>
      <c r="D276" t="s">
        <v>17</v>
      </c>
      <c r="E276" s="7">
        <v>40129.579980000002</v>
      </c>
      <c r="F276" s="7">
        <v>21575.042999999998</v>
      </c>
      <c r="G276" s="8">
        <f>Tabla1[[#This Row],[Ingresos]]-Tabla1[[#This Row],[Gastos]]</f>
        <v>18554.536980000004</v>
      </c>
      <c r="H276" s="13">
        <f>Tabla1[[#This Row],[Beneficio]]/Tabla1[[#This Row],[Ingresos]]</f>
        <v>0.46236559139784955</v>
      </c>
    </row>
    <row r="277" spans="1:8" x14ac:dyDescent="0.35">
      <c r="A277" s="2">
        <v>43288</v>
      </c>
      <c r="B277" t="s">
        <v>8</v>
      </c>
      <c r="C277" t="s">
        <v>11</v>
      </c>
      <c r="D277" t="s">
        <v>15</v>
      </c>
      <c r="E277" s="7">
        <v>26618.941912499999</v>
      </c>
      <c r="F277" s="7">
        <v>20877.601500000001</v>
      </c>
      <c r="G277" s="8">
        <f>Tabla1[[#This Row],[Ingresos]]-Tabla1[[#This Row],[Gastos]]</f>
        <v>5741.3404124999979</v>
      </c>
      <c r="H277" s="13">
        <f>Tabla1[[#This Row],[Beneficio]]/Tabla1[[#This Row],[Ingresos]]</f>
        <v>0.21568627450980385</v>
      </c>
    </row>
    <row r="278" spans="1:8" x14ac:dyDescent="0.35">
      <c r="A278" s="2">
        <v>43288</v>
      </c>
      <c r="B278" t="s">
        <v>7</v>
      </c>
      <c r="C278" t="s">
        <v>13</v>
      </c>
      <c r="D278" t="s">
        <v>17</v>
      </c>
      <c r="E278" s="7">
        <v>1045.41255</v>
      </c>
      <c r="F278" s="7">
        <v>820.57499999999993</v>
      </c>
      <c r="G278" s="8">
        <f>Tabla1[[#This Row],[Ingresos]]-Tabla1[[#This Row],[Gastos]]</f>
        <v>224.83755000000008</v>
      </c>
      <c r="H278" s="13">
        <f>Tabla1[[#This Row],[Beneficio]]/Tabla1[[#This Row],[Ingresos]]</f>
        <v>0.21507064364207229</v>
      </c>
    </row>
    <row r="279" spans="1:8" x14ac:dyDescent="0.35">
      <c r="A279" s="2">
        <v>43289</v>
      </c>
      <c r="B279" t="s">
        <v>6</v>
      </c>
      <c r="C279" t="s">
        <v>43</v>
      </c>
      <c r="D279" t="s">
        <v>16</v>
      </c>
      <c r="E279" s="7">
        <v>21317.01923076923</v>
      </c>
      <c r="F279" s="7">
        <v>20865.599999999999</v>
      </c>
      <c r="G279" s="8">
        <f>Tabla1[[#This Row],[Ingresos]]-Tabla1[[#This Row],[Gastos]]</f>
        <v>451.41923076923194</v>
      </c>
      <c r="H279" s="13">
        <f>Tabla1[[#This Row],[Beneficio]]/Tabla1[[#This Row],[Ingresos]]</f>
        <v>2.1176470588235349E-2</v>
      </c>
    </row>
    <row r="280" spans="1:8" x14ac:dyDescent="0.35">
      <c r="A280" s="2">
        <v>43289</v>
      </c>
      <c r="B280" t="s">
        <v>6</v>
      </c>
      <c r="C280" t="s">
        <v>13</v>
      </c>
      <c r="D280" t="s">
        <v>17</v>
      </c>
      <c r="E280" s="7">
        <v>2427.8152500000001</v>
      </c>
      <c r="F280" s="7">
        <v>1825.425</v>
      </c>
      <c r="G280" s="8">
        <f>Tabla1[[#This Row],[Ingresos]]-Tabla1[[#This Row],[Gastos]]</f>
        <v>602.39025000000015</v>
      </c>
      <c r="H280" s="13">
        <f>Tabla1[[#This Row],[Beneficio]]/Tabla1[[#This Row],[Ingresos]]</f>
        <v>0.24812030075187974</v>
      </c>
    </row>
    <row r="281" spans="1:8" x14ac:dyDescent="0.35">
      <c r="A281" s="2">
        <v>43289</v>
      </c>
      <c r="B281" t="s">
        <v>7</v>
      </c>
      <c r="C281" t="s">
        <v>13</v>
      </c>
      <c r="D281" t="s">
        <v>17</v>
      </c>
      <c r="E281" s="7">
        <v>667253.19779999997</v>
      </c>
      <c r="F281" s="7">
        <v>538775.87400000007</v>
      </c>
      <c r="G281" s="8">
        <f>Tabla1[[#This Row],[Ingresos]]-Tabla1[[#This Row],[Gastos]]</f>
        <v>128477.3237999999</v>
      </c>
      <c r="H281" s="13">
        <f>Tabla1[[#This Row],[Beneficio]]/Tabla1[[#This Row],[Ingresos]]</f>
        <v>0.19254658385093154</v>
      </c>
    </row>
    <row r="282" spans="1:8" x14ac:dyDescent="0.35">
      <c r="A282" s="2">
        <v>43289</v>
      </c>
      <c r="B282" t="s">
        <v>6</v>
      </c>
      <c r="C282" t="s">
        <v>10</v>
      </c>
      <c r="D282" t="s">
        <v>19</v>
      </c>
      <c r="E282" s="7">
        <v>92245.23</v>
      </c>
      <c r="F282" s="7">
        <v>77647.5</v>
      </c>
      <c r="G282" s="8">
        <f>Tabla1[[#This Row],[Ingresos]]-Tabla1[[#This Row],[Gastos]]</f>
        <v>14597.729999999996</v>
      </c>
      <c r="H282" s="13">
        <f>Tabla1[[#This Row],[Beneficio]]/Tabla1[[#This Row],[Ingresos]]</f>
        <v>0.15824915824915822</v>
      </c>
    </row>
    <row r="283" spans="1:8" x14ac:dyDescent="0.35">
      <c r="A283" s="2">
        <v>43290</v>
      </c>
      <c r="B283" t="s">
        <v>9</v>
      </c>
      <c r="C283" t="s">
        <v>10</v>
      </c>
      <c r="D283" t="s">
        <v>17</v>
      </c>
      <c r="E283" s="7">
        <v>895008.44160000002</v>
      </c>
      <c r="F283" s="7">
        <v>707301.50400000007</v>
      </c>
      <c r="G283" s="8">
        <f>Tabla1[[#This Row],[Ingresos]]-Tabla1[[#This Row],[Gastos]]</f>
        <v>187706.93759999995</v>
      </c>
      <c r="H283" s="13">
        <f>Tabla1[[#This Row],[Beneficio]]/Tabla1[[#This Row],[Ingresos]]</f>
        <v>0.20972644376899691</v>
      </c>
    </row>
    <row r="284" spans="1:8" x14ac:dyDescent="0.35">
      <c r="A284" s="2">
        <v>43290</v>
      </c>
      <c r="B284" t="s">
        <v>5</v>
      </c>
      <c r="C284" t="s">
        <v>12</v>
      </c>
      <c r="D284" t="s">
        <v>18</v>
      </c>
      <c r="E284" s="7">
        <v>1313.172</v>
      </c>
      <c r="F284" s="7">
        <v>1094.31</v>
      </c>
      <c r="G284" s="8">
        <f>Tabla1[[#This Row],[Ingresos]]-Tabla1[[#This Row],[Gastos]]</f>
        <v>218.86200000000008</v>
      </c>
      <c r="H284" s="13">
        <f>Tabla1[[#This Row],[Beneficio]]/Tabla1[[#This Row],[Ingresos]]</f>
        <v>0.16666666666666671</v>
      </c>
    </row>
    <row r="285" spans="1:8" x14ac:dyDescent="0.35">
      <c r="A285" s="2">
        <v>43291</v>
      </c>
      <c r="B285" t="s">
        <v>7</v>
      </c>
      <c r="C285" t="s">
        <v>13</v>
      </c>
      <c r="D285" t="s">
        <v>15</v>
      </c>
      <c r="E285" s="7">
        <v>11299.742999999999</v>
      </c>
      <c r="F285" s="7">
        <v>8278.1999999999989</v>
      </c>
      <c r="G285" s="8">
        <f>Tabla1[[#This Row],[Ingresos]]-Tabla1[[#This Row],[Gastos]]</f>
        <v>3021.5429999999997</v>
      </c>
      <c r="H285" s="13">
        <f>Tabla1[[#This Row],[Beneficio]]/Tabla1[[#This Row],[Ingresos]]</f>
        <v>0.26739926739926739</v>
      </c>
    </row>
    <row r="286" spans="1:8" x14ac:dyDescent="0.35">
      <c r="A286" s="2">
        <v>43291</v>
      </c>
      <c r="B286" t="s">
        <v>6</v>
      </c>
      <c r="C286" t="s">
        <v>10</v>
      </c>
      <c r="D286" t="s">
        <v>16</v>
      </c>
      <c r="E286" s="7">
        <v>377985.93403846154</v>
      </c>
      <c r="F286" s="7">
        <v>320902.34399999998</v>
      </c>
      <c r="G286" s="8">
        <f>Tabla1[[#This Row],[Ingresos]]-Tabla1[[#This Row],[Gastos]]</f>
        <v>57083.590038461552</v>
      </c>
      <c r="H286" s="13">
        <f>Tabla1[[#This Row],[Beneficio]]/Tabla1[[#This Row],[Ingresos]]</f>
        <v>0.15102040816326534</v>
      </c>
    </row>
    <row r="287" spans="1:8" x14ac:dyDescent="0.35">
      <c r="A287" s="2">
        <v>43291</v>
      </c>
      <c r="B287" t="s">
        <v>9</v>
      </c>
      <c r="C287" t="s">
        <v>12</v>
      </c>
      <c r="D287" t="s">
        <v>16</v>
      </c>
      <c r="E287" s="7">
        <v>9898.8386538461527</v>
      </c>
      <c r="F287" s="7">
        <v>4332.8249999999998</v>
      </c>
      <c r="G287" s="8">
        <f>Tabla1[[#This Row],[Ingresos]]-Tabla1[[#This Row],[Gastos]]</f>
        <v>5566.0136538461529</v>
      </c>
      <c r="H287" s="13">
        <f>Tabla1[[#This Row],[Beneficio]]/Tabla1[[#This Row],[Ingresos]]</f>
        <v>0.56228956228956228</v>
      </c>
    </row>
    <row r="288" spans="1:8" x14ac:dyDescent="0.35">
      <c r="A288" s="2">
        <v>43291</v>
      </c>
      <c r="B288" t="s">
        <v>8</v>
      </c>
      <c r="C288" t="s">
        <v>10</v>
      </c>
      <c r="D288" t="s">
        <v>17</v>
      </c>
      <c r="E288" s="7">
        <v>9655.9948800000002</v>
      </c>
      <c r="F288" s="7">
        <v>7184.5199999999995</v>
      </c>
      <c r="G288" s="8">
        <f>Tabla1[[#This Row],[Ingresos]]-Tabla1[[#This Row],[Gastos]]</f>
        <v>2471.4748800000007</v>
      </c>
      <c r="H288" s="13">
        <f>Tabla1[[#This Row],[Beneficio]]/Tabla1[[#This Row],[Ingresos]]</f>
        <v>0.25595238095238104</v>
      </c>
    </row>
    <row r="289" spans="1:8" x14ac:dyDescent="0.35">
      <c r="A289" s="2">
        <v>43292</v>
      </c>
      <c r="B289" t="s">
        <v>5</v>
      </c>
      <c r="C289" t="s">
        <v>12</v>
      </c>
      <c r="D289" t="s">
        <v>19</v>
      </c>
      <c r="E289" s="7">
        <v>102491.48699999999</v>
      </c>
      <c r="F289" s="7">
        <v>91838.25</v>
      </c>
      <c r="G289" s="8">
        <f>Tabla1[[#This Row],[Ingresos]]-Tabla1[[#This Row],[Gastos]]</f>
        <v>10653.236999999994</v>
      </c>
      <c r="H289" s="13">
        <f>Tabla1[[#This Row],[Beneficio]]/Tabla1[[#This Row],[Ingresos]]</f>
        <v>0.10394265232974904</v>
      </c>
    </row>
    <row r="290" spans="1:8" x14ac:dyDescent="0.35">
      <c r="A290" s="2">
        <v>43293</v>
      </c>
      <c r="B290" t="s">
        <v>7</v>
      </c>
      <c r="C290" t="s">
        <v>12</v>
      </c>
      <c r="D290" t="s">
        <v>16</v>
      </c>
      <c r="E290" s="7">
        <v>271231.53749999998</v>
      </c>
      <c r="F290" s="7">
        <v>230270.03999999998</v>
      </c>
      <c r="G290" s="8">
        <f>Tabla1[[#This Row],[Ingresos]]-Tabla1[[#This Row],[Gastos]]</f>
        <v>40961.497499999998</v>
      </c>
      <c r="H290" s="13">
        <f>Tabla1[[#This Row],[Beneficio]]/Tabla1[[#This Row],[Ingresos]]</f>
        <v>0.15102040816326531</v>
      </c>
    </row>
    <row r="291" spans="1:8" x14ac:dyDescent="0.35">
      <c r="A291" s="2">
        <v>43293</v>
      </c>
      <c r="B291" t="s">
        <v>9</v>
      </c>
      <c r="C291" t="s">
        <v>11</v>
      </c>
      <c r="D291" t="s">
        <v>17</v>
      </c>
      <c r="E291" s="7">
        <v>24923.758859999998</v>
      </c>
      <c r="F291" s="7">
        <v>12716.2035</v>
      </c>
      <c r="G291" s="8">
        <f>Tabla1[[#This Row],[Ingresos]]-Tabla1[[#This Row],[Gastos]]</f>
        <v>12207.555359999998</v>
      </c>
      <c r="H291" s="13">
        <f>Tabla1[[#This Row],[Beneficio]]/Tabla1[[#This Row],[Ingresos]]</f>
        <v>0.48979591836734693</v>
      </c>
    </row>
    <row r="292" spans="1:8" x14ac:dyDescent="0.35">
      <c r="A292" s="2">
        <v>43293</v>
      </c>
      <c r="B292" t="s">
        <v>6</v>
      </c>
      <c r="C292" t="s">
        <v>43</v>
      </c>
      <c r="D292" t="s">
        <v>19</v>
      </c>
      <c r="E292" s="7">
        <v>767350.58400000003</v>
      </c>
      <c r="F292" s="7">
        <v>666102.9375</v>
      </c>
      <c r="G292" s="8">
        <f>Tabla1[[#This Row],[Ingresos]]-Tabla1[[#This Row],[Gastos]]</f>
        <v>101247.64650000003</v>
      </c>
      <c r="H292" s="13">
        <f>Tabla1[[#This Row],[Beneficio]]/Tabla1[[#This Row],[Ingresos]]</f>
        <v>0.13194444444444448</v>
      </c>
    </row>
    <row r="293" spans="1:8" x14ac:dyDescent="0.35">
      <c r="A293" s="2">
        <v>43294</v>
      </c>
      <c r="B293" t="s">
        <v>6</v>
      </c>
      <c r="C293" t="s">
        <v>13</v>
      </c>
      <c r="D293" t="s">
        <v>17</v>
      </c>
      <c r="E293" s="7">
        <v>1858.3992000000001</v>
      </c>
      <c r="F293" s="7">
        <v>1032.444</v>
      </c>
      <c r="G293" s="8">
        <f>Tabla1[[#This Row],[Ingresos]]-Tabla1[[#This Row],[Gastos]]</f>
        <v>825.9552000000001</v>
      </c>
      <c r="H293" s="13">
        <f>Tabla1[[#This Row],[Beneficio]]/Tabla1[[#This Row],[Ingresos]]</f>
        <v>0.44444444444444448</v>
      </c>
    </row>
    <row r="294" spans="1:8" x14ac:dyDescent="0.35">
      <c r="A294" s="2">
        <v>43295</v>
      </c>
      <c r="B294" t="s">
        <v>5</v>
      </c>
      <c r="C294" t="s">
        <v>10</v>
      </c>
      <c r="D294" t="s">
        <v>17</v>
      </c>
      <c r="E294" s="7">
        <v>9668.4839999999986</v>
      </c>
      <c r="F294" s="7">
        <v>4932.8999999999996</v>
      </c>
      <c r="G294" s="8">
        <f>Tabla1[[#This Row],[Ingresos]]-Tabla1[[#This Row],[Gastos]]</f>
        <v>4735.5839999999989</v>
      </c>
      <c r="H294" s="13">
        <f>Tabla1[[#This Row],[Beneficio]]/Tabla1[[#This Row],[Ingresos]]</f>
        <v>0.48979591836734693</v>
      </c>
    </row>
    <row r="295" spans="1:8" x14ac:dyDescent="0.35">
      <c r="A295" s="2">
        <v>43296</v>
      </c>
      <c r="B295" t="s">
        <v>9</v>
      </c>
      <c r="C295" t="s">
        <v>43</v>
      </c>
      <c r="D295" t="s">
        <v>16</v>
      </c>
      <c r="E295" s="7">
        <v>35397.973557692305</v>
      </c>
      <c r="F295" s="7">
        <v>29748.6</v>
      </c>
      <c r="G295" s="8">
        <f>Tabla1[[#This Row],[Ingresos]]-Tabla1[[#This Row],[Gastos]]</f>
        <v>5649.3735576923063</v>
      </c>
      <c r="H295" s="13">
        <f>Tabla1[[#This Row],[Beneficio]]/Tabla1[[#This Row],[Ingresos]]</f>
        <v>0.15959595959595957</v>
      </c>
    </row>
    <row r="296" spans="1:8" x14ac:dyDescent="0.35">
      <c r="A296" s="2">
        <v>43296</v>
      </c>
      <c r="B296" t="s">
        <v>5</v>
      </c>
      <c r="C296" t="s">
        <v>43</v>
      </c>
      <c r="D296" t="s">
        <v>16</v>
      </c>
      <c r="E296" s="7">
        <v>6370.0160192307685</v>
      </c>
      <c r="F296" s="7">
        <v>3983.1749999999997</v>
      </c>
      <c r="G296" s="8">
        <f>Tabla1[[#This Row],[Ingresos]]-Tabla1[[#This Row],[Gastos]]</f>
        <v>2386.8410192307688</v>
      </c>
      <c r="H296" s="13">
        <f>Tabla1[[#This Row],[Beneficio]]/Tabla1[[#This Row],[Ingresos]]</f>
        <v>0.3746993746993747</v>
      </c>
    </row>
    <row r="297" spans="1:8" x14ac:dyDescent="0.35">
      <c r="A297" s="2">
        <v>43296</v>
      </c>
      <c r="B297" t="s">
        <v>7</v>
      </c>
      <c r="C297" t="s">
        <v>12</v>
      </c>
      <c r="D297" t="s">
        <v>19</v>
      </c>
      <c r="E297" s="7">
        <v>314991.18</v>
      </c>
      <c r="F297" s="7">
        <v>262492.64999999997</v>
      </c>
      <c r="G297" s="8">
        <f>Tabla1[[#This Row],[Ingresos]]-Tabla1[[#This Row],[Gastos]]</f>
        <v>52498.530000000028</v>
      </c>
      <c r="H297" s="13">
        <f>Tabla1[[#This Row],[Beneficio]]/Tabla1[[#This Row],[Ingresos]]</f>
        <v>0.16666666666666677</v>
      </c>
    </row>
    <row r="298" spans="1:8" x14ac:dyDescent="0.35">
      <c r="A298" s="2">
        <v>43296</v>
      </c>
      <c r="B298" t="s">
        <v>7</v>
      </c>
      <c r="C298" t="s">
        <v>43</v>
      </c>
      <c r="D298" t="s">
        <v>19</v>
      </c>
      <c r="E298" s="7">
        <v>72803.366999999998</v>
      </c>
      <c r="F298" s="7">
        <v>71375.849999999991</v>
      </c>
      <c r="G298" s="8">
        <f>Tabla1[[#This Row],[Ingresos]]-Tabla1[[#This Row],[Gastos]]</f>
        <v>1427.5170000000071</v>
      </c>
      <c r="H298" s="13">
        <f>Tabla1[[#This Row],[Beneficio]]/Tabla1[[#This Row],[Ingresos]]</f>
        <v>1.9607843137254999E-2</v>
      </c>
    </row>
    <row r="299" spans="1:8" x14ac:dyDescent="0.35">
      <c r="A299" s="2">
        <v>43297</v>
      </c>
      <c r="B299" t="s">
        <v>8</v>
      </c>
      <c r="C299" t="s">
        <v>11</v>
      </c>
      <c r="D299" t="s">
        <v>15</v>
      </c>
      <c r="E299" s="7">
        <v>29440.057499999995</v>
      </c>
      <c r="F299" s="7">
        <v>22821.75</v>
      </c>
      <c r="G299" s="8">
        <f>Tabla1[[#This Row],[Ingresos]]-Tabla1[[#This Row],[Gastos]]</f>
        <v>6618.3074999999953</v>
      </c>
      <c r="H299" s="13">
        <f>Tabla1[[#This Row],[Beneficio]]/Tabla1[[#This Row],[Ingresos]]</f>
        <v>0.22480620155038747</v>
      </c>
    </row>
    <row r="300" spans="1:8" x14ac:dyDescent="0.35">
      <c r="A300" s="2">
        <v>43297</v>
      </c>
      <c r="B300" t="s">
        <v>8</v>
      </c>
      <c r="C300" t="s">
        <v>10</v>
      </c>
      <c r="D300" t="s">
        <v>15</v>
      </c>
      <c r="E300" s="7">
        <v>15298.58988</v>
      </c>
      <c r="F300" s="7">
        <v>11859.372000000001</v>
      </c>
      <c r="G300" s="8">
        <f>Tabla1[[#This Row],[Ingresos]]-Tabla1[[#This Row],[Gastos]]</f>
        <v>3439.2178799999983</v>
      </c>
      <c r="H300" s="13">
        <f>Tabla1[[#This Row],[Beneficio]]/Tabla1[[#This Row],[Ingresos]]</f>
        <v>0.2248062015503875</v>
      </c>
    </row>
    <row r="301" spans="1:8" x14ac:dyDescent="0.35">
      <c r="A301" s="2">
        <v>43297</v>
      </c>
      <c r="B301" t="s">
        <v>9</v>
      </c>
      <c r="C301" t="s">
        <v>13</v>
      </c>
      <c r="D301" t="s">
        <v>19</v>
      </c>
      <c r="E301" s="7">
        <v>33558.840000000004</v>
      </c>
      <c r="F301" s="7">
        <v>30397.499999999996</v>
      </c>
      <c r="G301" s="8">
        <f>Tabla1[[#This Row],[Ingresos]]-Tabla1[[#This Row],[Gastos]]</f>
        <v>3161.3400000000074</v>
      </c>
      <c r="H301" s="13">
        <f>Tabla1[[#This Row],[Beneficio]]/Tabla1[[#This Row],[Ingresos]]</f>
        <v>9.4202898550724848E-2</v>
      </c>
    </row>
    <row r="302" spans="1:8" x14ac:dyDescent="0.35">
      <c r="A302" s="2">
        <v>43298</v>
      </c>
      <c r="B302" t="s">
        <v>5</v>
      </c>
      <c r="C302" t="s">
        <v>43</v>
      </c>
      <c r="D302" t="s">
        <v>15</v>
      </c>
      <c r="E302" s="7">
        <v>11078.907839999998</v>
      </c>
      <c r="F302" s="7">
        <v>7693.6860000000006</v>
      </c>
      <c r="G302" s="8">
        <f>Tabla1[[#This Row],[Ingresos]]-Tabla1[[#This Row],[Gastos]]</f>
        <v>3385.2218399999974</v>
      </c>
      <c r="H302" s="13">
        <f>Tabla1[[#This Row],[Beneficio]]/Tabla1[[#This Row],[Ingresos]]</f>
        <v>0.30555555555555536</v>
      </c>
    </row>
    <row r="303" spans="1:8" x14ac:dyDescent="0.35">
      <c r="A303" s="2">
        <v>43298</v>
      </c>
      <c r="B303" t="s">
        <v>9</v>
      </c>
      <c r="C303" t="s">
        <v>10</v>
      </c>
      <c r="D303" t="s">
        <v>17</v>
      </c>
      <c r="E303" s="7">
        <v>230413.68</v>
      </c>
      <c r="F303" s="7">
        <v>178296.3</v>
      </c>
      <c r="G303" s="8">
        <f>Tabla1[[#This Row],[Ingresos]]-Tabla1[[#This Row],[Gastos]]</f>
        <v>52117.380000000005</v>
      </c>
      <c r="H303" s="13">
        <f>Tabla1[[#This Row],[Beneficio]]/Tabla1[[#This Row],[Ingresos]]</f>
        <v>0.22619047619047622</v>
      </c>
    </row>
    <row r="304" spans="1:8" x14ac:dyDescent="0.35">
      <c r="A304" s="2">
        <v>43299</v>
      </c>
      <c r="B304" t="s">
        <v>5</v>
      </c>
      <c r="C304" t="s">
        <v>13</v>
      </c>
      <c r="D304" t="s">
        <v>16</v>
      </c>
      <c r="E304" s="7">
        <v>65259.51923076922</v>
      </c>
      <c r="F304" s="7">
        <v>60328.799999999996</v>
      </c>
      <c r="G304" s="8">
        <f>Tabla1[[#This Row],[Ingresos]]-Tabla1[[#This Row],[Gastos]]</f>
        <v>4930.7192307692239</v>
      </c>
      <c r="H304" s="13">
        <f>Tabla1[[#This Row],[Beneficio]]/Tabla1[[#This Row],[Ingresos]]</f>
        <v>7.5555555555555459E-2</v>
      </c>
    </row>
    <row r="305" spans="1:8" x14ac:dyDescent="0.35">
      <c r="A305" s="2">
        <v>43299</v>
      </c>
      <c r="B305" t="s">
        <v>7</v>
      </c>
      <c r="C305" t="s">
        <v>12</v>
      </c>
      <c r="D305" t="s">
        <v>16</v>
      </c>
      <c r="E305" s="7">
        <v>3798.5365384615384</v>
      </c>
      <c r="F305" s="7">
        <v>2351.4749999999999</v>
      </c>
      <c r="G305" s="8">
        <f>Tabla1[[#This Row],[Ingresos]]-Tabla1[[#This Row],[Gastos]]</f>
        <v>1447.0615384615385</v>
      </c>
      <c r="H305" s="13">
        <f>Tabla1[[#This Row],[Beneficio]]/Tabla1[[#This Row],[Ingresos]]</f>
        <v>0.38095238095238099</v>
      </c>
    </row>
    <row r="306" spans="1:8" x14ac:dyDescent="0.35">
      <c r="A306" s="2">
        <v>43300</v>
      </c>
      <c r="B306" t="s">
        <v>8</v>
      </c>
      <c r="C306" t="s">
        <v>12</v>
      </c>
      <c r="D306" t="s">
        <v>15</v>
      </c>
      <c r="E306" s="7">
        <v>22570.362045000002</v>
      </c>
      <c r="F306" s="7">
        <v>16179.471000000001</v>
      </c>
      <c r="G306" s="8">
        <f>Tabla1[[#This Row],[Ingresos]]-Tabla1[[#This Row],[Gastos]]</f>
        <v>6390.8910450000003</v>
      </c>
      <c r="H306" s="13">
        <f>Tabla1[[#This Row],[Beneficio]]/Tabla1[[#This Row],[Ingresos]]</f>
        <v>0.28315412186379929</v>
      </c>
    </row>
    <row r="307" spans="1:8" x14ac:dyDescent="0.35">
      <c r="A307" s="2">
        <v>43302</v>
      </c>
      <c r="B307" t="s">
        <v>9</v>
      </c>
      <c r="C307" t="s">
        <v>10</v>
      </c>
      <c r="D307" t="s">
        <v>15</v>
      </c>
      <c r="E307" s="7">
        <v>22331.578500000003</v>
      </c>
      <c r="F307" s="7">
        <v>14887.718999999997</v>
      </c>
      <c r="G307" s="8">
        <f>Tabla1[[#This Row],[Ingresos]]-Tabla1[[#This Row],[Gastos]]</f>
        <v>7443.8595000000059</v>
      </c>
      <c r="H307" s="13">
        <f>Tabla1[[#This Row],[Beneficio]]/Tabla1[[#This Row],[Ingresos]]</f>
        <v>0.33333333333333354</v>
      </c>
    </row>
    <row r="308" spans="1:8" x14ac:dyDescent="0.35">
      <c r="A308" s="2">
        <v>43302</v>
      </c>
      <c r="B308" t="s">
        <v>6</v>
      </c>
      <c r="C308" t="s">
        <v>12</v>
      </c>
      <c r="D308" t="s">
        <v>17</v>
      </c>
      <c r="E308" s="7">
        <v>77713.02</v>
      </c>
      <c r="F308" s="7">
        <v>64864.799999999996</v>
      </c>
      <c r="G308" s="8">
        <f>Tabla1[[#This Row],[Ingresos]]-Tabla1[[#This Row],[Gastos]]</f>
        <v>12848.220000000008</v>
      </c>
      <c r="H308" s="13">
        <f>Tabla1[[#This Row],[Beneficio]]/Tabla1[[#This Row],[Ingresos]]</f>
        <v>0.16532905296950251</v>
      </c>
    </row>
    <row r="309" spans="1:8" x14ac:dyDescent="0.35">
      <c r="A309" s="2">
        <v>43305</v>
      </c>
      <c r="B309" t="s">
        <v>9</v>
      </c>
      <c r="C309" t="s">
        <v>11</v>
      </c>
      <c r="D309" t="s">
        <v>18</v>
      </c>
      <c r="E309" s="7">
        <v>11721.677184</v>
      </c>
      <c r="F309" s="7">
        <v>9157.560300000001</v>
      </c>
      <c r="G309" s="8">
        <f>Tabla1[[#This Row],[Ingresos]]-Tabla1[[#This Row],[Gastos]]</f>
        <v>2564.1168839999991</v>
      </c>
      <c r="H309" s="13">
        <f>Tabla1[[#This Row],[Beneficio]]/Tabla1[[#This Row],[Ingresos]]</f>
        <v>0.21874999999999992</v>
      </c>
    </row>
    <row r="310" spans="1:8" x14ac:dyDescent="0.35">
      <c r="A310" s="2">
        <v>43306</v>
      </c>
      <c r="B310" t="s">
        <v>8</v>
      </c>
      <c r="C310" t="s">
        <v>11</v>
      </c>
      <c r="D310" t="s">
        <v>16</v>
      </c>
      <c r="E310" s="7">
        <v>121506.10096153844</v>
      </c>
      <c r="F310" s="7">
        <v>103156.2</v>
      </c>
      <c r="G310" s="8">
        <f>Tabla1[[#This Row],[Ingresos]]-Tabla1[[#This Row],[Gastos]]</f>
        <v>18349.900961538442</v>
      </c>
      <c r="H310" s="13">
        <f>Tabla1[[#This Row],[Beneficio]]/Tabla1[[#This Row],[Ingresos]]</f>
        <v>0.15102040816326517</v>
      </c>
    </row>
    <row r="311" spans="1:8" x14ac:dyDescent="0.35">
      <c r="A311" s="2">
        <v>43306</v>
      </c>
      <c r="B311" t="s">
        <v>8</v>
      </c>
      <c r="C311" t="s">
        <v>12</v>
      </c>
      <c r="D311" t="s">
        <v>16</v>
      </c>
      <c r="E311" s="7">
        <v>77217.95812499999</v>
      </c>
      <c r="F311" s="7">
        <v>64894.284</v>
      </c>
      <c r="G311" s="8">
        <f>Tabla1[[#This Row],[Ingresos]]-Tabla1[[#This Row],[Gastos]]</f>
        <v>12323.67412499999</v>
      </c>
      <c r="H311" s="13">
        <f>Tabla1[[#This Row],[Beneficio]]/Tabla1[[#This Row],[Ingresos]]</f>
        <v>0.15959595959595949</v>
      </c>
    </row>
    <row r="312" spans="1:8" x14ac:dyDescent="0.35">
      <c r="A312" s="2">
        <v>43306</v>
      </c>
      <c r="B312" t="s">
        <v>6</v>
      </c>
      <c r="C312" t="s">
        <v>10</v>
      </c>
      <c r="D312" t="s">
        <v>16</v>
      </c>
      <c r="E312" s="7">
        <v>92180.661057692298</v>
      </c>
      <c r="F312" s="7">
        <v>90228.599999999991</v>
      </c>
      <c r="G312" s="8">
        <f>Tabla1[[#This Row],[Ingresos]]-Tabla1[[#This Row],[Gastos]]</f>
        <v>1952.0610576923063</v>
      </c>
      <c r="H312" s="13">
        <f>Tabla1[[#This Row],[Beneficio]]/Tabla1[[#This Row],[Ingresos]]</f>
        <v>2.1176470588235283E-2</v>
      </c>
    </row>
    <row r="313" spans="1:8" x14ac:dyDescent="0.35">
      <c r="A313" s="2">
        <v>43306</v>
      </c>
      <c r="B313" t="s">
        <v>6</v>
      </c>
      <c r="C313" t="s">
        <v>10</v>
      </c>
      <c r="D313" t="s">
        <v>17</v>
      </c>
      <c r="E313" s="7">
        <v>3803.4851400000002</v>
      </c>
      <c r="F313" s="7">
        <v>2185.9110000000001</v>
      </c>
      <c r="G313" s="8">
        <f>Tabla1[[#This Row],[Ingresos]]-Tabla1[[#This Row],[Gastos]]</f>
        <v>1617.5741400000002</v>
      </c>
      <c r="H313" s="13">
        <f>Tabla1[[#This Row],[Beneficio]]/Tabla1[[#This Row],[Ingresos]]</f>
        <v>0.42528735632183912</v>
      </c>
    </row>
    <row r="314" spans="1:8" x14ac:dyDescent="0.35">
      <c r="A314" s="2">
        <v>43306</v>
      </c>
      <c r="B314" t="s">
        <v>7</v>
      </c>
      <c r="C314" t="s">
        <v>10</v>
      </c>
      <c r="D314" t="s">
        <v>18</v>
      </c>
      <c r="E314" s="7">
        <v>5565.1163400000005</v>
      </c>
      <c r="F314" s="7">
        <v>4393.5128999999997</v>
      </c>
      <c r="G314" s="8">
        <f>Tabla1[[#This Row],[Ingresos]]-Tabla1[[#This Row],[Gastos]]</f>
        <v>1171.6034400000008</v>
      </c>
      <c r="H314" s="13">
        <f>Tabla1[[#This Row],[Beneficio]]/Tabla1[[#This Row],[Ingresos]]</f>
        <v>0.21052631578947381</v>
      </c>
    </row>
    <row r="315" spans="1:8" x14ac:dyDescent="0.35">
      <c r="A315" s="2">
        <v>43308</v>
      </c>
      <c r="B315" t="s">
        <v>5</v>
      </c>
      <c r="C315" t="s">
        <v>11</v>
      </c>
      <c r="D315" t="s">
        <v>19</v>
      </c>
      <c r="E315" s="7">
        <v>264720.95999999996</v>
      </c>
      <c r="F315" s="7">
        <v>229792.49999999997</v>
      </c>
      <c r="G315" s="8">
        <f>Tabla1[[#This Row],[Ingresos]]-Tabla1[[#This Row],[Gastos]]</f>
        <v>34928.459999999992</v>
      </c>
      <c r="H315" s="13">
        <f>Tabla1[[#This Row],[Beneficio]]/Tabla1[[#This Row],[Ingresos]]</f>
        <v>0.13194444444444442</v>
      </c>
    </row>
    <row r="316" spans="1:8" x14ac:dyDescent="0.35">
      <c r="A316" s="2">
        <v>43309</v>
      </c>
      <c r="B316" t="s">
        <v>9</v>
      </c>
      <c r="C316" t="s">
        <v>43</v>
      </c>
      <c r="D316" t="s">
        <v>16</v>
      </c>
      <c r="E316" s="7">
        <v>56717.71875</v>
      </c>
      <c r="F316" s="7">
        <v>48648.6</v>
      </c>
      <c r="G316" s="8">
        <f>Tabla1[[#This Row],[Ingresos]]-Tabla1[[#This Row],[Gastos]]</f>
        <v>8069.1187500000015</v>
      </c>
      <c r="H316" s="13">
        <f>Tabla1[[#This Row],[Beneficio]]/Tabla1[[#This Row],[Ingresos]]</f>
        <v>0.14226804123711342</v>
      </c>
    </row>
    <row r="317" spans="1:8" x14ac:dyDescent="0.35">
      <c r="A317" s="2">
        <v>43310</v>
      </c>
      <c r="B317" t="s">
        <v>9</v>
      </c>
      <c r="C317" t="s">
        <v>43</v>
      </c>
      <c r="D317" t="s">
        <v>17</v>
      </c>
      <c r="E317" s="7">
        <v>171692.32499999998</v>
      </c>
      <c r="F317" s="7">
        <v>146601</v>
      </c>
      <c r="G317" s="8">
        <f>Tabla1[[#This Row],[Ingresos]]-Tabla1[[#This Row],[Gastos]]</f>
        <v>25091.324999999983</v>
      </c>
      <c r="H317" s="13">
        <f>Tabla1[[#This Row],[Beneficio]]/Tabla1[[#This Row],[Ingresos]]</f>
        <v>0.14614121510673225</v>
      </c>
    </row>
    <row r="318" spans="1:8" x14ac:dyDescent="0.35">
      <c r="A318" s="2">
        <v>43310</v>
      </c>
      <c r="B318" t="s">
        <v>8</v>
      </c>
      <c r="C318" t="s">
        <v>10</v>
      </c>
      <c r="D318" t="s">
        <v>18</v>
      </c>
      <c r="E318" s="7">
        <v>10382.758847999999</v>
      </c>
      <c r="F318" s="7">
        <v>8848.9422000000013</v>
      </c>
      <c r="G318" s="8">
        <f>Tabla1[[#This Row],[Ingresos]]-Tabla1[[#This Row],[Gastos]]</f>
        <v>1533.8166479999982</v>
      </c>
      <c r="H318" s="13">
        <f>Tabla1[[#This Row],[Beneficio]]/Tabla1[[#This Row],[Ingresos]]</f>
        <v>0.14772727272727257</v>
      </c>
    </row>
    <row r="319" spans="1:8" x14ac:dyDescent="0.35">
      <c r="A319" s="2">
        <v>43311</v>
      </c>
      <c r="B319" t="s">
        <v>6</v>
      </c>
      <c r="C319" t="s">
        <v>10</v>
      </c>
      <c r="D319" t="s">
        <v>17</v>
      </c>
      <c r="E319" s="7">
        <v>151307.09999999998</v>
      </c>
      <c r="F319" s="7">
        <v>119573.99999999999</v>
      </c>
      <c r="G319" s="8">
        <f>Tabla1[[#This Row],[Ingresos]]-Tabla1[[#This Row],[Gastos]]</f>
        <v>31733.099999999991</v>
      </c>
      <c r="H319" s="13">
        <f>Tabla1[[#This Row],[Beneficio]]/Tabla1[[#This Row],[Ingresos]]</f>
        <v>0.20972644376899693</v>
      </c>
    </row>
    <row r="320" spans="1:8" x14ac:dyDescent="0.35">
      <c r="A320" s="2">
        <v>43313</v>
      </c>
      <c r="B320" t="s">
        <v>9</v>
      </c>
      <c r="C320" t="s">
        <v>13</v>
      </c>
      <c r="D320" t="s">
        <v>17</v>
      </c>
      <c r="E320" s="7">
        <v>555.61590000000001</v>
      </c>
      <c r="F320" s="7">
        <v>461.47499999999997</v>
      </c>
      <c r="G320" s="8">
        <f>Tabla1[[#This Row],[Ingresos]]-Tabla1[[#This Row],[Gastos]]</f>
        <v>94.140900000000045</v>
      </c>
      <c r="H320" s="13">
        <f>Tabla1[[#This Row],[Beneficio]]/Tabla1[[#This Row],[Ingresos]]</f>
        <v>0.16943521594684394</v>
      </c>
    </row>
    <row r="321" spans="1:8" x14ac:dyDescent="0.35">
      <c r="A321" s="2">
        <v>43314</v>
      </c>
      <c r="B321" t="s">
        <v>7</v>
      </c>
      <c r="C321" t="s">
        <v>13</v>
      </c>
      <c r="D321" t="s">
        <v>18</v>
      </c>
      <c r="E321" s="7">
        <v>1996.8983999999998</v>
      </c>
      <c r="F321" s="7">
        <v>1593.2699999999998</v>
      </c>
      <c r="G321" s="8">
        <f>Tabla1[[#This Row],[Ingresos]]-Tabla1[[#This Row],[Gastos]]</f>
        <v>403.62840000000006</v>
      </c>
      <c r="H321" s="13">
        <f>Tabla1[[#This Row],[Beneficio]]/Tabla1[[#This Row],[Ingresos]]</f>
        <v>0.20212765957446813</v>
      </c>
    </row>
    <row r="322" spans="1:8" x14ac:dyDescent="0.35">
      <c r="A322" s="2">
        <v>43314</v>
      </c>
      <c r="B322" t="s">
        <v>8</v>
      </c>
      <c r="C322" t="s">
        <v>13</v>
      </c>
      <c r="D322" t="s">
        <v>18</v>
      </c>
      <c r="E322" s="7">
        <v>22684.950287999996</v>
      </c>
      <c r="F322" s="7">
        <v>19333.764449999999</v>
      </c>
      <c r="G322" s="8">
        <f>Tabla1[[#This Row],[Ingresos]]-Tabla1[[#This Row],[Gastos]]</f>
        <v>3351.1858379999976</v>
      </c>
      <c r="H322" s="13">
        <f>Tabla1[[#This Row],[Beneficio]]/Tabla1[[#This Row],[Ingresos]]</f>
        <v>0.14772727272727265</v>
      </c>
    </row>
    <row r="323" spans="1:8" x14ac:dyDescent="0.35">
      <c r="A323" s="2">
        <v>43316</v>
      </c>
      <c r="B323" t="s">
        <v>8</v>
      </c>
      <c r="C323" t="s">
        <v>10</v>
      </c>
      <c r="D323" t="s">
        <v>17</v>
      </c>
      <c r="E323" s="7">
        <v>29411.125379999994</v>
      </c>
      <c r="F323" s="7">
        <v>15812.433000000001</v>
      </c>
      <c r="G323" s="8">
        <f>Tabla1[[#This Row],[Ingresos]]-Tabla1[[#This Row],[Gastos]]</f>
        <v>13598.692379999993</v>
      </c>
      <c r="H323" s="13">
        <f>Tabla1[[#This Row],[Beneficio]]/Tabla1[[#This Row],[Ingresos]]</f>
        <v>0.46236559139784933</v>
      </c>
    </row>
    <row r="324" spans="1:8" x14ac:dyDescent="0.35">
      <c r="A324" s="2">
        <v>43317</v>
      </c>
      <c r="B324" t="s">
        <v>9</v>
      </c>
      <c r="C324" t="s">
        <v>10</v>
      </c>
      <c r="D324" t="s">
        <v>15</v>
      </c>
      <c r="E324" s="7">
        <v>9232.3192499999986</v>
      </c>
      <c r="F324" s="7">
        <v>6618.15</v>
      </c>
      <c r="G324" s="8">
        <f>Tabla1[[#This Row],[Ingresos]]-Tabla1[[#This Row],[Gastos]]</f>
        <v>2614.169249999999</v>
      </c>
      <c r="H324" s="13">
        <f>Tabla1[[#This Row],[Beneficio]]/Tabla1[[#This Row],[Ingresos]]</f>
        <v>0.28315412186379924</v>
      </c>
    </row>
    <row r="325" spans="1:8" x14ac:dyDescent="0.35">
      <c r="A325" s="2">
        <v>43317</v>
      </c>
      <c r="B325" t="s">
        <v>9</v>
      </c>
      <c r="C325" t="s">
        <v>10</v>
      </c>
      <c r="D325" t="s">
        <v>17</v>
      </c>
      <c r="E325" s="7">
        <v>232556.94</v>
      </c>
      <c r="F325" s="7">
        <v>183783.59999999998</v>
      </c>
      <c r="G325" s="8">
        <f>Tabla1[[#This Row],[Ingresos]]-Tabla1[[#This Row],[Gastos]]</f>
        <v>48773.340000000026</v>
      </c>
      <c r="H325" s="13">
        <f>Tabla1[[#This Row],[Beneficio]]/Tabla1[[#This Row],[Ingresos]]</f>
        <v>0.20972644376899707</v>
      </c>
    </row>
    <row r="326" spans="1:8" x14ac:dyDescent="0.35">
      <c r="A326" s="2">
        <v>43318</v>
      </c>
      <c r="B326" t="s">
        <v>7</v>
      </c>
      <c r="C326" t="s">
        <v>43</v>
      </c>
      <c r="D326" t="s">
        <v>16</v>
      </c>
      <c r="E326" s="7">
        <v>37346.222812499997</v>
      </c>
      <c r="F326" s="7">
        <v>34145.117999999995</v>
      </c>
      <c r="G326" s="8">
        <f>Tabla1[[#This Row],[Ingresos]]-Tabla1[[#This Row],[Gastos]]</f>
        <v>3201.1048125000016</v>
      </c>
      <c r="H326" s="13">
        <f>Tabla1[[#This Row],[Beneficio]]/Tabla1[[#This Row],[Ingresos]]</f>
        <v>8.5714285714285771E-2</v>
      </c>
    </row>
    <row r="327" spans="1:8" x14ac:dyDescent="0.35">
      <c r="A327" s="2">
        <v>43318</v>
      </c>
      <c r="B327" t="s">
        <v>7</v>
      </c>
      <c r="C327" t="s">
        <v>10</v>
      </c>
      <c r="D327" t="s">
        <v>17</v>
      </c>
      <c r="E327" s="7">
        <v>135342.9</v>
      </c>
      <c r="F327" s="7">
        <v>114250.5</v>
      </c>
      <c r="G327" s="8">
        <f>Tabla1[[#This Row],[Ingresos]]-Tabla1[[#This Row],[Gastos]]</f>
        <v>21092.399999999994</v>
      </c>
      <c r="H327" s="13">
        <f>Tabla1[[#This Row],[Beneficio]]/Tabla1[[#This Row],[Ingresos]]</f>
        <v>0.15584415584415581</v>
      </c>
    </row>
    <row r="328" spans="1:8" x14ac:dyDescent="0.35">
      <c r="A328" s="2">
        <v>43318</v>
      </c>
      <c r="B328" t="s">
        <v>7</v>
      </c>
      <c r="C328" t="s">
        <v>10</v>
      </c>
      <c r="D328" t="s">
        <v>17</v>
      </c>
      <c r="E328" s="7">
        <v>22193.164035000002</v>
      </c>
      <c r="F328" s="7">
        <v>16686.589499999998</v>
      </c>
      <c r="G328" s="8">
        <f>Tabla1[[#This Row],[Ingresos]]-Tabla1[[#This Row],[Gastos]]</f>
        <v>5506.5745350000034</v>
      </c>
      <c r="H328" s="13">
        <f>Tabla1[[#This Row],[Beneficio]]/Tabla1[[#This Row],[Ingresos]]</f>
        <v>0.24812030075187982</v>
      </c>
    </row>
    <row r="329" spans="1:8" x14ac:dyDescent="0.35">
      <c r="A329" s="2">
        <v>43318</v>
      </c>
      <c r="B329" t="s">
        <v>7</v>
      </c>
      <c r="C329" t="s">
        <v>12</v>
      </c>
      <c r="D329" t="s">
        <v>18</v>
      </c>
      <c r="E329" s="7">
        <v>2398.5725400000001</v>
      </c>
      <c r="F329" s="7">
        <v>1976.8455000000001</v>
      </c>
      <c r="G329" s="8">
        <f>Tabla1[[#This Row],[Ingresos]]-Tabla1[[#This Row],[Gastos]]</f>
        <v>421.72703999999999</v>
      </c>
      <c r="H329" s="13">
        <f>Tabla1[[#This Row],[Beneficio]]/Tabla1[[#This Row],[Ingresos]]</f>
        <v>0.17582417582417581</v>
      </c>
    </row>
    <row r="330" spans="1:8" x14ac:dyDescent="0.35">
      <c r="A330" s="2">
        <v>43319</v>
      </c>
      <c r="B330" t="s">
        <v>5</v>
      </c>
      <c r="C330" t="s">
        <v>13</v>
      </c>
      <c r="D330" t="s">
        <v>16</v>
      </c>
      <c r="E330" s="7">
        <v>94150.168269230751</v>
      </c>
      <c r="F330" s="7">
        <v>92156.4</v>
      </c>
      <c r="G330" s="8">
        <f>Tabla1[[#This Row],[Ingresos]]-Tabla1[[#This Row],[Gastos]]</f>
        <v>1993.7682692307571</v>
      </c>
      <c r="H330" s="13">
        <f>Tabla1[[#This Row],[Beneficio]]/Tabla1[[#This Row],[Ingresos]]</f>
        <v>2.1176470588235168E-2</v>
      </c>
    </row>
    <row r="331" spans="1:8" x14ac:dyDescent="0.35">
      <c r="A331" s="2">
        <v>43320</v>
      </c>
      <c r="B331" t="s">
        <v>9</v>
      </c>
      <c r="C331" t="s">
        <v>10</v>
      </c>
      <c r="D331" t="s">
        <v>15</v>
      </c>
      <c r="E331" s="7">
        <v>7860.9319424999985</v>
      </c>
      <c r="F331" s="7">
        <v>5758.9244999999992</v>
      </c>
      <c r="G331" s="8">
        <f>Tabla1[[#This Row],[Ingresos]]-Tabla1[[#This Row],[Gastos]]</f>
        <v>2102.0074424999993</v>
      </c>
      <c r="H331" s="13">
        <f>Tabla1[[#This Row],[Beneficio]]/Tabla1[[#This Row],[Ingresos]]</f>
        <v>0.26739926739926739</v>
      </c>
    </row>
    <row r="332" spans="1:8" x14ac:dyDescent="0.35">
      <c r="A332" s="2">
        <v>43320</v>
      </c>
      <c r="B332" t="s">
        <v>9</v>
      </c>
      <c r="C332" t="s">
        <v>43</v>
      </c>
      <c r="D332" t="s">
        <v>19</v>
      </c>
      <c r="E332" s="7">
        <v>68330.700900000011</v>
      </c>
      <c r="F332" s="7">
        <v>60576.862499999996</v>
      </c>
      <c r="G332" s="8">
        <f>Tabla1[[#This Row],[Ingresos]]-Tabla1[[#This Row],[Gastos]]</f>
        <v>7753.8384000000151</v>
      </c>
      <c r="H332" s="13">
        <f>Tabla1[[#This Row],[Beneficio]]/Tabla1[[#This Row],[Ingresos]]</f>
        <v>0.11347517730496474</v>
      </c>
    </row>
    <row r="333" spans="1:8" x14ac:dyDescent="0.35">
      <c r="A333" s="2">
        <v>43321</v>
      </c>
      <c r="B333" t="s">
        <v>5</v>
      </c>
      <c r="C333" t="s">
        <v>11</v>
      </c>
      <c r="D333" t="s">
        <v>17</v>
      </c>
      <c r="E333" s="7">
        <v>18501.87528</v>
      </c>
      <c r="F333" s="7">
        <v>10055.366999999998</v>
      </c>
      <c r="G333" s="8">
        <f>Tabla1[[#This Row],[Ingresos]]-Tabla1[[#This Row],[Gastos]]</f>
        <v>8446.5082800000018</v>
      </c>
      <c r="H333" s="13">
        <f>Tabla1[[#This Row],[Beneficio]]/Tabla1[[#This Row],[Ingresos]]</f>
        <v>0.45652173913043487</v>
      </c>
    </row>
    <row r="334" spans="1:8" x14ac:dyDescent="0.35">
      <c r="A334" s="2">
        <v>43321</v>
      </c>
      <c r="B334" t="s">
        <v>9</v>
      </c>
      <c r="C334" t="s">
        <v>13</v>
      </c>
      <c r="D334" t="s">
        <v>18</v>
      </c>
      <c r="E334" s="7">
        <v>6697.2150000000001</v>
      </c>
      <c r="F334" s="7">
        <v>5287.2749999999996</v>
      </c>
      <c r="G334" s="8">
        <f>Tabla1[[#This Row],[Ingresos]]-Tabla1[[#This Row],[Gastos]]</f>
        <v>1409.9400000000005</v>
      </c>
      <c r="H334" s="13">
        <f>Tabla1[[#This Row],[Beneficio]]/Tabla1[[#This Row],[Ingresos]]</f>
        <v>0.21052631578947376</v>
      </c>
    </row>
    <row r="335" spans="1:8" x14ac:dyDescent="0.35">
      <c r="A335" s="2">
        <v>43323</v>
      </c>
      <c r="B335" t="s">
        <v>7</v>
      </c>
      <c r="C335" t="s">
        <v>43</v>
      </c>
      <c r="D335" t="s">
        <v>17</v>
      </c>
      <c r="E335" s="7">
        <v>5950.8539999999994</v>
      </c>
      <c r="F335" s="7">
        <v>3269.7</v>
      </c>
      <c r="G335" s="8">
        <f>Tabla1[[#This Row],[Ingresos]]-Tabla1[[#This Row],[Gastos]]</f>
        <v>2681.1539999999995</v>
      </c>
      <c r="H335" s="13">
        <f>Tabla1[[#This Row],[Beneficio]]/Tabla1[[#This Row],[Ingresos]]</f>
        <v>0.4505494505494505</v>
      </c>
    </row>
    <row r="336" spans="1:8" x14ac:dyDescent="0.35">
      <c r="A336" s="2">
        <v>43323</v>
      </c>
      <c r="B336" t="s">
        <v>7</v>
      </c>
      <c r="C336" t="s">
        <v>13</v>
      </c>
      <c r="D336" t="s">
        <v>17</v>
      </c>
      <c r="E336" s="7">
        <v>413218.24582500005</v>
      </c>
      <c r="F336" s="7">
        <v>310062.75300000003</v>
      </c>
      <c r="G336" s="8">
        <f>Tabla1[[#This Row],[Ingresos]]-Tabla1[[#This Row],[Gastos]]</f>
        <v>103155.49282500002</v>
      </c>
      <c r="H336" s="13">
        <f>Tabla1[[#This Row],[Beneficio]]/Tabla1[[#This Row],[Ingresos]]</f>
        <v>0.24963924963924966</v>
      </c>
    </row>
    <row r="337" spans="1:8" x14ac:dyDescent="0.35">
      <c r="A337" s="2">
        <v>43323</v>
      </c>
      <c r="B337" t="s">
        <v>7</v>
      </c>
      <c r="C337" t="s">
        <v>13</v>
      </c>
      <c r="D337" t="s">
        <v>17</v>
      </c>
      <c r="E337" s="7">
        <v>8870.3861399999987</v>
      </c>
      <c r="F337" s="7">
        <v>4983.3629999999994</v>
      </c>
      <c r="G337" s="8">
        <f>Tabla1[[#This Row],[Ingresos]]-Tabla1[[#This Row],[Gastos]]</f>
        <v>3887.0231399999993</v>
      </c>
      <c r="H337" s="13">
        <f>Tabla1[[#This Row],[Beneficio]]/Tabla1[[#This Row],[Ingresos]]</f>
        <v>0.43820224719101125</v>
      </c>
    </row>
    <row r="338" spans="1:8" x14ac:dyDescent="0.35">
      <c r="A338" s="2">
        <v>43324</v>
      </c>
      <c r="B338" t="s">
        <v>7</v>
      </c>
      <c r="C338" t="s">
        <v>43</v>
      </c>
      <c r="D338" t="s">
        <v>16</v>
      </c>
      <c r="E338" s="7">
        <v>504818.76374999993</v>
      </c>
      <c r="F338" s="7">
        <v>488382.804</v>
      </c>
      <c r="G338" s="8">
        <f>Tabla1[[#This Row],[Ingresos]]-Tabla1[[#This Row],[Gastos]]</f>
        <v>16435.959749999922</v>
      </c>
      <c r="H338" s="13">
        <f>Tabla1[[#This Row],[Beneficio]]/Tabla1[[#This Row],[Ingresos]]</f>
        <v>3.2558139534883568E-2</v>
      </c>
    </row>
    <row r="339" spans="1:8" x14ac:dyDescent="0.35">
      <c r="A339" s="2">
        <v>43324</v>
      </c>
      <c r="B339" t="s">
        <v>9</v>
      </c>
      <c r="C339" t="s">
        <v>10</v>
      </c>
      <c r="D339" t="s">
        <v>19</v>
      </c>
      <c r="E339" s="7">
        <v>26582.774399999998</v>
      </c>
      <c r="F339" s="7">
        <v>24343.199999999997</v>
      </c>
      <c r="G339" s="8">
        <f>Tabla1[[#This Row],[Ingresos]]-Tabla1[[#This Row],[Gastos]]</f>
        <v>2239.5744000000013</v>
      </c>
      <c r="H339" s="13">
        <f>Tabla1[[#This Row],[Beneficio]]/Tabla1[[#This Row],[Ingresos]]</f>
        <v>8.4249084249084311E-2</v>
      </c>
    </row>
    <row r="340" spans="1:8" x14ac:dyDescent="0.35">
      <c r="A340" s="2">
        <v>43324</v>
      </c>
      <c r="B340" t="s">
        <v>9</v>
      </c>
      <c r="C340" t="s">
        <v>10</v>
      </c>
      <c r="D340" t="s">
        <v>18</v>
      </c>
      <c r="E340" s="7">
        <v>33944.906141999993</v>
      </c>
      <c r="F340" s="7">
        <v>26246.061450000001</v>
      </c>
      <c r="G340" s="8">
        <f>Tabla1[[#This Row],[Ingresos]]-Tabla1[[#This Row],[Gastos]]</f>
        <v>7698.8446919999915</v>
      </c>
      <c r="H340" s="13">
        <f>Tabla1[[#This Row],[Beneficio]]/Tabla1[[#This Row],[Ingresos]]</f>
        <v>0.22680412371134001</v>
      </c>
    </row>
    <row r="341" spans="1:8" x14ac:dyDescent="0.35">
      <c r="A341" s="2">
        <v>43325</v>
      </c>
      <c r="B341" t="s">
        <v>8</v>
      </c>
      <c r="C341" t="s">
        <v>13</v>
      </c>
      <c r="D341" t="s">
        <v>17</v>
      </c>
      <c r="E341" s="7">
        <v>18296.17713</v>
      </c>
      <c r="F341" s="7">
        <v>13200.705</v>
      </c>
      <c r="G341" s="8">
        <f>Tabla1[[#This Row],[Ingresos]]-Tabla1[[#This Row],[Gastos]]</f>
        <v>5095.4721300000001</v>
      </c>
      <c r="H341" s="13">
        <f>Tabla1[[#This Row],[Beneficio]]/Tabla1[[#This Row],[Ingresos]]</f>
        <v>0.27849927849927852</v>
      </c>
    </row>
    <row r="342" spans="1:8" x14ac:dyDescent="0.35">
      <c r="A342" s="2">
        <v>43326</v>
      </c>
      <c r="B342" t="s">
        <v>5</v>
      </c>
      <c r="C342" t="s">
        <v>12</v>
      </c>
      <c r="D342" t="s">
        <v>18</v>
      </c>
      <c r="E342" s="7">
        <v>35509.055399999997</v>
      </c>
      <c r="F342" s="7">
        <v>26631.791549999998</v>
      </c>
      <c r="G342" s="8">
        <f>Tabla1[[#This Row],[Ingresos]]-Tabla1[[#This Row],[Gastos]]</f>
        <v>8877.2638499999994</v>
      </c>
      <c r="H342" s="13">
        <f>Tabla1[[#This Row],[Beneficio]]/Tabla1[[#This Row],[Ingresos]]</f>
        <v>0.25</v>
      </c>
    </row>
    <row r="343" spans="1:8" x14ac:dyDescent="0.35">
      <c r="A343" s="2">
        <v>43327</v>
      </c>
      <c r="B343" t="s">
        <v>9</v>
      </c>
      <c r="C343" t="s">
        <v>12</v>
      </c>
      <c r="D343" t="s">
        <v>15</v>
      </c>
      <c r="E343" s="7">
        <v>48008.309579999986</v>
      </c>
      <c r="F343" s="7">
        <v>36369.931499999999</v>
      </c>
      <c r="G343" s="8">
        <f>Tabla1[[#This Row],[Ingresos]]-Tabla1[[#This Row],[Gastos]]</f>
        <v>11638.378079999988</v>
      </c>
      <c r="H343" s="13">
        <f>Tabla1[[#This Row],[Beneficio]]/Tabla1[[#This Row],[Ingresos]]</f>
        <v>0.24242424242424224</v>
      </c>
    </row>
    <row r="344" spans="1:8" x14ac:dyDescent="0.35">
      <c r="A344" s="2">
        <v>43327</v>
      </c>
      <c r="B344" t="s">
        <v>6</v>
      </c>
      <c r="C344" t="s">
        <v>13</v>
      </c>
      <c r="D344" t="s">
        <v>15</v>
      </c>
      <c r="E344" s="7">
        <v>5238.1940624999997</v>
      </c>
      <c r="F344" s="7">
        <v>4108.3874999999998</v>
      </c>
      <c r="G344" s="8">
        <f>Tabla1[[#This Row],[Ingresos]]-Tabla1[[#This Row],[Gastos]]</f>
        <v>1129.8065624999999</v>
      </c>
      <c r="H344" s="13">
        <f>Tabla1[[#This Row],[Beneficio]]/Tabla1[[#This Row],[Ingresos]]</f>
        <v>0.2156862745098039</v>
      </c>
    </row>
    <row r="345" spans="1:8" x14ac:dyDescent="0.35">
      <c r="A345" s="2">
        <v>43327</v>
      </c>
      <c r="B345" t="s">
        <v>5</v>
      </c>
      <c r="C345" t="s">
        <v>13</v>
      </c>
      <c r="D345" t="s">
        <v>17</v>
      </c>
      <c r="E345" s="7">
        <v>210959.40599999999</v>
      </c>
      <c r="F345" s="7">
        <v>166715.63999999998</v>
      </c>
      <c r="G345" s="8">
        <f>Tabla1[[#This Row],[Ingresos]]-Tabla1[[#This Row],[Gastos]]</f>
        <v>44243.766000000003</v>
      </c>
      <c r="H345" s="13">
        <f>Tabla1[[#This Row],[Beneficio]]/Tabla1[[#This Row],[Ingresos]]</f>
        <v>0.20972644376899699</v>
      </c>
    </row>
    <row r="346" spans="1:8" x14ac:dyDescent="0.35">
      <c r="A346" s="2">
        <v>43328</v>
      </c>
      <c r="B346" t="s">
        <v>7</v>
      </c>
      <c r="C346" t="s">
        <v>10</v>
      </c>
      <c r="D346" t="s">
        <v>17</v>
      </c>
      <c r="E346" s="7">
        <v>5310.3896999999997</v>
      </c>
      <c r="F346" s="7">
        <v>4261.95</v>
      </c>
      <c r="G346" s="8">
        <f>Tabla1[[#This Row],[Ingresos]]-Tabla1[[#This Row],[Gastos]]</f>
        <v>1048.4396999999999</v>
      </c>
      <c r="H346" s="13">
        <f>Tabla1[[#This Row],[Beneficio]]/Tabla1[[#This Row],[Ingresos]]</f>
        <v>0.19743178170144463</v>
      </c>
    </row>
    <row r="347" spans="1:8" x14ac:dyDescent="0.35">
      <c r="A347" s="2">
        <v>43328</v>
      </c>
      <c r="B347" t="s">
        <v>5</v>
      </c>
      <c r="C347" t="s">
        <v>10</v>
      </c>
      <c r="D347" t="s">
        <v>17</v>
      </c>
      <c r="E347" s="7">
        <v>1030.276989</v>
      </c>
      <c r="F347" s="7">
        <v>782.88524999999993</v>
      </c>
      <c r="G347" s="8">
        <f>Tabla1[[#This Row],[Ingresos]]-Tabla1[[#This Row],[Gastos]]</f>
        <v>247.39173900000003</v>
      </c>
      <c r="H347" s="13">
        <f>Tabla1[[#This Row],[Beneficio]]/Tabla1[[#This Row],[Ingresos]]</f>
        <v>0.2401215805471125</v>
      </c>
    </row>
    <row r="348" spans="1:8" x14ac:dyDescent="0.35">
      <c r="A348" s="2">
        <v>43329</v>
      </c>
      <c r="B348" t="s">
        <v>6</v>
      </c>
      <c r="C348" t="s">
        <v>12</v>
      </c>
      <c r="D348" t="s">
        <v>17</v>
      </c>
      <c r="E348" s="7">
        <v>21308.816812500001</v>
      </c>
      <c r="F348" s="7">
        <v>16366.218749999998</v>
      </c>
      <c r="G348" s="8">
        <f>Tabla1[[#This Row],[Ingresos]]-Tabla1[[#This Row],[Gastos]]</f>
        <v>4942.5980625000029</v>
      </c>
      <c r="H348" s="13">
        <f>Tabla1[[#This Row],[Beneficio]]/Tabla1[[#This Row],[Ingresos]]</f>
        <v>0.23195084485407078</v>
      </c>
    </row>
    <row r="349" spans="1:8" x14ac:dyDescent="0.35">
      <c r="A349" s="2">
        <v>43329</v>
      </c>
      <c r="B349" t="s">
        <v>5</v>
      </c>
      <c r="C349" t="s">
        <v>12</v>
      </c>
      <c r="D349" t="s">
        <v>18</v>
      </c>
      <c r="E349" s="7">
        <v>7382.34</v>
      </c>
      <c r="F349" s="7">
        <v>5536.7550000000001</v>
      </c>
      <c r="G349" s="8">
        <f>Tabla1[[#This Row],[Ingresos]]-Tabla1[[#This Row],[Gastos]]</f>
        <v>1845.585</v>
      </c>
      <c r="H349" s="13">
        <f>Tabla1[[#This Row],[Beneficio]]/Tabla1[[#This Row],[Ingresos]]</f>
        <v>0.25</v>
      </c>
    </row>
    <row r="350" spans="1:8" x14ac:dyDescent="0.35">
      <c r="A350" s="2">
        <v>43330</v>
      </c>
      <c r="B350" t="s">
        <v>9</v>
      </c>
      <c r="C350" t="s">
        <v>43</v>
      </c>
      <c r="D350" t="s">
        <v>19</v>
      </c>
      <c r="E350" s="7">
        <v>108461.43</v>
      </c>
      <c r="F350" s="7">
        <v>96153.75</v>
      </c>
      <c r="G350" s="8">
        <f>Tabla1[[#This Row],[Ingresos]]-Tabla1[[#This Row],[Gastos]]</f>
        <v>12307.679999999993</v>
      </c>
      <c r="H350" s="13">
        <f>Tabla1[[#This Row],[Beneficio]]/Tabla1[[#This Row],[Ingresos]]</f>
        <v>0.11347517730496448</v>
      </c>
    </row>
    <row r="351" spans="1:8" x14ac:dyDescent="0.35">
      <c r="A351" s="2">
        <v>43331</v>
      </c>
      <c r="B351" t="s">
        <v>9</v>
      </c>
      <c r="C351" t="s">
        <v>11</v>
      </c>
      <c r="D351" t="s">
        <v>15</v>
      </c>
      <c r="E351" s="7">
        <v>5333.0659200000009</v>
      </c>
      <c r="F351" s="7">
        <v>3703.518</v>
      </c>
      <c r="G351" s="8">
        <f>Tabla1[[#This Row],[Ingresos]]-Tabla1[[#This Row],[Gastos]]</f>
        <v>1629.5479200000009</v>
      </c>
      <c r="H351" s="13">
        <f>Tabla1[[#This Row],[Beneficio]]/Tabla1[[#This Row],[Ingresos]]</f>
        <v>0.30555555555555569</v>
      </c>
    </row>
    <row r="352" spans="1:8" x14ac:dyDescent="0.35">
      <c r="A352" s="2">
        <v>43331</v>
      </c>
      <c r="B352" t="s">
        <v>7</v>
      </c>
      <c r="C352" t="s">
        <v>43</v>
      </c>
      <c r="D352" t="s">
        <v>16</v>
      </c>
      <c r="E352" s="7">
        <v>229120.70192307691</v>
      </c>
      <c r="F352" s="7">
        <v>194518.8</v>
      </c>
      <c r="G352" s="8">
        <f>Tabla1[[#This Row],[Ingresos]]-Tabla1[[#This Row],[Gastos]]</f>
        <v>34601.901923076919</v>
      </c>
      <c r="H352" s="13">
        <f>Tabla1[[#This Row],[Beneficio]]/Tabla1[[#This Row],[Ingresos]]</f>
        <v>0.15102040816326529</v>
      </c>
    </row>
    <row r="353" spans="1:8" x14ac:dyDescent="0.35">
      <c r="A353" s="2">
        <v>43332</v>
      </c>
      <c r="B353" t="s">
        <v>8</v>
      </c>
      <c r="C353" t="s">
        <v>10</v>
      </c>
      <c r="D353" t="s">
        <v>19</v>
      </c>
      <c r="E353" s="7">
        <v>50937.597900000001</v>
      </c>
      <c r="F353" s="7">
        <v>49358.137499999997</v>
      </c>
      <c r="G353" s="8">
        <f>Tabla1[[#This Row],[Ingresos]]-Tabla1[[#This Row],[Gastos]]</f>
        <v>1579.4604000000036</v>
      </c>
      <c r="H353" s="13">
        <f>Tabla1[[#This Row],[Beneficio]]/Tabla1[[#This Row],[Ingresos]]</f>
        <v>3.1007751937984565E-2</v>
      </c>
    </row>
    <row r="354" spans="1:8" x14ac:dyDescent="0.35">
      <c r="A354" s="2">
        <v>43333</v>
      </c>
      <c r="B354" t="s">
        <v>8</v>
      </c>
      <c r="C354" t="s">
        <v>11</v>
      </c>
      <c r="D354" t="s">
        <v>19</v>
      </c>
      <c r="E354" s="7">
        <v>90494.787599999996</v>
      </c>
      <c r="F354" s="7">
        <v>76951.349999999991</v>
      </c>
      <c r="G354" s="8">
        <f>Tabla1[[#This Row],[Ingresos]]-Tabla1[[#This Row],[Gastos]]</f>
        <v>13543.437600000005</v>
      </c>
      <c r="H354" s="13">
        <f>Tabla1[[#This Row],[Beneficio]]/Tabla1[[#This Row],[Ingresos]]</f>
        <v>0.14965986394557829</v>
      </c>
    </row>
    <row r="355" spans="1:8" x14ac:dyDescent="0.35">
      <c r="A355" s="2">
        <v>43334</v>
      </c>
      <c r="B355" t="s">
        <v>5</v>
      </c>
      <c r="C355" t="s">
        <v>12</v>
      </c>
      <c r="D355" t="s">
        <v>17</v>
      </c>
      <c r="E355" s="7">
        <v>1194.0074999999999</v>
      </c>
      <c r="F355" s="7">
        <v>897.74999999999989</v>
      </c>
      <c r="G355" s="8">
        <f>Tabla1[[#This Row],[Ingresos]]-Tabla1[[#This Row],[Gastos]]</f>
        <v>296.25750000000005</v>
      </c>
      <c r="H355" s="13">
        <f>Tabla1[[#This Row],[Beneficio]]/Tabla1[[#This Row],[Ingresos]]</f>
        <v>0.24812030075187974</v>
      </c>
    </row>
    <row r="356" spans="1:8" x14ac:dyDescent="0.35">
      <c r="A356" s="2">
        <v>43335</v>
      </c>
      <c r="B356" t="s">
        <v>7</v>
      </c>
      <c r="C356" t="s">
        <v>10</v>
      </c>
      <c r="D356" t="s">
        <v>19</v>
      </c>
      <c r="E356" s="7">
        <v>652310.81999999995</v>
      </c>
      <c r="F356" s="7">
        <v>590861.25</v>
      </c>
      <c r="G356" s="8">
        <f>Tabla1[[#This Row],[Ingresos]]-Tabla1[[#This Row],[Gastos]]</f>
        <v>61449.569999999949</v>
      </c>
      <c r="H356" s="13">
        <f>Tabla1[[#This Row],[Beneficio]]/Tabla1[[#This Row],[Ingresos]]</f>
        <v>9.420289855072457E-2</v>
      </c>
    </row>
    <row r="357" spans="1:8" x14ac:dyDescent="0.35">
      <c r="A357" s="2">
        <v>43336</v>
      </c>
      <c r="B357" t="s">
        <v>5</v>
      </c>
      <c r="C357" t="s">
        <v>12</v>
      </c>
      <c r="D357" t="s">
        <v>17</v>
      </c>
      <c r="E357" s="7">
        <v>6076.5862499999994</v>
      </c>
      <c r="F357" s="7">
        <v>3574.4624999999996</v>
      </c>
      <c r="G357" s="8">
        <f>Tabla1[[#This Row],[Ingresos]]-Tabla1[[#This Row],[Gastos]]</f>
        <v>2502.1237499999997</v>
      </c>
      <c r="H357" s="13">
        <f>Tabla1[[#This Row],[Beneficio]]/Tabla1[[#This Row],[Ingresos]]</f>
        <v>0.41176470588235292</v>
      </c>
    </row>
    <row r="358" spans="1:8" x14ac:dyDescent="0.35">
      <c r="A358" s="2">
        <v>43338</v>
      </c>
      <c r="B358" t="s">
        <v>8</v>
      </c>
      <c r="C358" t="s">
        <v>10</v>
      </c>
      <c r="D358" t="s">
        <v>17</v>
      </c>
      <c r="E358" s="7">
        <v>944065.84387500002</v>
      </c>
      <c r="F358" s="7">
        <v>815472.15749999997</v>
      </c>
      <c r="G358" s="8">
        <f>Tabla1[[#This Row],[Ingresos]]-Tabla1[[#This Row],[Gastos]]</f>
        <v>128593.68637500005</v>
      </c>
      <c r="H358" s="13">
        <f>Tabla1[[#This Row],[Beneficio]]/Tabla1[[#This Row],[Ingresos]]</f>
        <v>0.13621262458471767</v>
      </c>
    </row>
    <row r="359" spans="1:8" x14ac:dyDescent="0.35">
      <c r="A359" s="2">
        <v>43340</v>
      </c>
      <c r="B359" t="s">
        <v>6</v>
      </c>
      <c r="C359" t="s">
        <v>11</v>
      </c>
      <c r="D359" t="s">
        <v>17</v>
      </c>
      <c r="E359" s="7">
        <v>3793.6760399999994</v>
      </c>
      <c r="F359" s="7">
        <v>2852.3880000000004</v>
      </c>
      <c r="G359" s="8">
        <f>Tabla1[[#This Row],[Ingresos]]-Tabla1[[#This Row],[Gastos]]</f>
        <v>941.288039999999</v>
      </c>
      <c r="H359" s="13">
        <f>Tabla1[[#This Row],[Beneficio]]/Tabla1[[#This Row],[Ingresos]]</f>
        <v>0.24812030075187946</v>
      </c>
    </row>
    <row r="360" spans="1:8" x14ac:dyDescent="0.35">
      <c r="A360" s="2">
        <v>43341</v>
      </c>
      <c r="B360" t="s">
        <v>9</v>
      </c>
      <c r="C360" t="s">
        <v>10</v>
      </c>
      <c r="D360" t="s">
        <v>15</v>
      </c>
      <c r="E360" s="7">
        <v>10291.049999999999</v>
      </c>
      <c r="F360" s="7">
        <v>6860.7</v>
      </c>
      <c r="G360" s="8">
        <f>Tabla1[[#This Row],[Ingresos]]-Tabla1[[#This Row],[Gastos]]</f>
        <v>3430.3499999999995</v>
      </c>
      <c r="H360" s="13">
        <f>Tabla1[[#This Row],[Beneficio]]/Tabla1[[#This Row],[Ingresos]]</f>
        <v>0.33333333333333331</v>
      </c>
    </row>
    <row r="361" spans="1:8" x14ac:dyDescent="0.35">
      <c r="A361" s="2">
        <v>43341</v>
      </c>
      <c r="B361" t="s">
        <v>5</v>
      </c>
      <c r="C361" t="s">
        <v>11</v>
      </c>
      <c r="D361" t="s">
        <v>15</v>
      </c>
      <c r="E361" s="7">
        <v>3840.7871249999998</v>
      </c>
      <c r="F361" s="7">
        <v>2723.9624999999996</v>
      </c>
      <c r="G361" s="8">
        <f>Tabla1[[#This Row],[Ingresos]]-Tabla1[[#This Row],[Gastos]]</f>
        <v>1116.8246250000002</v>
      </c>
      <c r="H361" s="13">
        <f>Tabla1[[#This Row],[Beneficio]]/Tabla1[[#This Row],[Ingresos]]</f>
        <v>0.29078014184397172</v>
      </c>
    </row>
    <row r="362" spans="1:8" x14ac:dyDescent="0.35">
      <c r="A362" s="2">
        <v>43341</v>
      </c>
      <c r="B362" t="s">
        <v>9</v>
      </c>
      <c r="C362" t="s">
        <v>10</v>
      </c>
      <c r="D362" t="s">
        <v>17</v>
      </c>
      <c r="E362" s="7">
        <v>2893.1363999999994</v>
      </c>
      <c r="F362" s="7">
        <v>2348.3249999999998</v>
      </c>
      <c r="G362" s="8">
        <f>Tabla1[[#This Row],[Ingresos]]-Tabla1[[#This Row],[Gastos]]</f>
        <v>544.81139999999959</v>
      </c>
      <c r="H362" s="13">
        <f>Tabla1[[#This Row],[Beneficio]]/Tabla1[[#This Row],[Ingresos]]</f>
        <v>0.18831168831168821</v>
      </c>
    </row>
    <row r="363" spans="1:8" x14ac:dyDescent="0.35">
      <c r="A363" s="2">
        <v>43341</v>
      </c>
      <c r="B363" t="s">
        <v>7</v>
      </c>
      <c r="C363" t="s">
        <v>10</v>
      </c>
      <c r="D363" t="s">
        <v>17</v>
      </c>
      <c r="E363" s="7">
        <v>14423.436720000002</v>
      </c>
      <c r="F363" s="7">
        <v>8195.1344999999983</v>
      </c>
      <c r="G363" s="8">
        <f>Tabla1[[#This Row],[Ingresos]]-Tabla1[[#This Row],[Gastos]]</f>
        <v>6228.3022200000032</v>
      </c>
      <c r="H363" s="13">
        <f>Tabla1[[#This Row],[Beneficio]]/Tabla1[[#This Row],[Ingresos]]</f>
        <v>0.43181818181818199</v>
      </c>
    </row>
    <row r="364" spans="1:8" x14ac:dyDescent="0.35">
      <c r="A364" s="2">
        <v>43342</v>
      </c>
      <c r="B364" t="s">
        <v>9</v>
      </c>
      <c r="C364" t="s">
        <v>43</v>
      </c>
      <c r="D364" t="s">
        <v>16</v>
      </c>
      <c r="E364" s="7">
        <v>39970.774038461539</v>
      </c>
      <c r="F364" s="7">
        <v>38669.399999999994</v>
      </c>
      <c r="G364" s="8">
        <f>Tabla1[[#This Row],[Ingresos]]-Tabla1[[#This Row],[Gastos]]</f>
        <v>1301.3740384615448</v>
      </c>
      <c r="H364" s="13">
        <f>Tabla1[[#This Row],[Beneficio]]/Tabla1[[#This Row],[Ingresos]]</f>
        <v>3.255813953488388E-2</v>
      </c>
    </row>
    <row r="365" spans="1:8" x14ac:dyDescent="0.35">
      <c r="A365" s="2">
        <v>43342</v>
      </c>
      <c r="B365" t="s">
        <v>8</v>
      </c>
      <c r="C365" t="s">
        <v>10</v>
      </c>
      <c r="D365" t="s">
        <v>17</v>
      </c>
      <c r="E365" s="7">
        <v>13154.904</v>
      </c>
      <c r="F365" s="7">
        <v>7648.2</v>
      </c>
      <c r="G365" s="8">
        <f>Tabla1[[#This Row],[Ingresos]]-Tabla1[[#This Row],[Gastos]]</f>
        <v>5506.7040000000006</v>
      </c>
      <c r="H365" s="13">
        <f>Tabla1[[#This Row],[Beneficio]]/Tabla1[[#This Row],[Ingresos]]</f>
        <v>0.41860465116279072</v>
      </c>
    </row>
    <row r="366" spans="1:8" x14ac:dyDescent="0.35">
      <c r="A366" s="2">
        <v>43343</v>
      </c>
      <c r="B366" t="s">
        <v>6</v>
      </c>
      <c r="C366" t="s">
        <v>43</v>
      </c>
      <c r="D366" t="s">
        <v>16</v>
      </c>
      <c r="E366" s="7">
        <v>457382.27163461538</v>
      </c>
      <c r="F366" s="7">
        <v>409185</v>
      </c>
      <c r="G366" s="8">
        <f>Tabla1[[#This Row],[Ingresos]]-Tabla1[[#This Row],[Gastos]]</f>
        <v>48197.271634615376</v>
      </c>
      <c r="H366" s="13">
        <f>Tabla1[[#This Row],[Beneficio]]/Tabla1[[#This Row],[Ingresos]]</f>
        <v>0.10537634408602149</v>
      </c>
    </row>
    <row r="367" spans="1:8" x14ac:dyDescent="0.35">
      <c r="A367" s="2">
        <v>43345</v>
      </c>
      <c r="B367" t="s">
        <v>6</v>
      </c>
      <c r="C367" t="s">
        <v>13</v>
      </c>
      <c r="D367" t="s">
        <v>15</v>
      </c>
      <c r="E367" s="7">
        <v>2168.7749999999996</v>
      </c>
      <c r="F367" s="7">
        <v>1606.5</v>
      </c>
      <c r="G367" s="8">
        <f>Tabla1[[#This Row],[Ingresos]]-Tabla1[[#This Row],[Gastos]]</f>
        <v>562.27499999999964</v>
      </c>
      <c r="H367" s="13">
        <f>Tabla1[[#This Row],[Beneficio]]/Tabla1[[#This Row],[Ingresos]]</f>
        <v>0.25925925925925913</v>
      </c>
    </row>
    <row r="368" spans="1:8" x14ac:dyDescent="0.35">
      <c r="A368" s="2">
        <v>43345</v>
      </c>
      <c r="B368" t="s">
        <v>5</v>
      </c>
      <c r="C368" t="s">
        <v>10</v>
      </c>
      <c r="D368" t="s">
        <v>19</v>
      </c>
      <c r="E368" s="7">
        <v>574771.04684999993</v>
      </c>
      <c r="F368" s="7">
        <v>483814.01249999995</v>
      </c>
      <c r="G368" s="8">
        <f>Tabla1[[#This Row],[Ingresos]]-Tabla1[[#This Row],[Gastos]]</f>
        <v>90957.034349999973</v>
      </c>
      <c r="H368" s="13">
        <f>Tabla1[[#This Row],[Beneficio]]/Tabla1[[#This Row],[Ingresos]]</f>
        <v>0.15824915824915822</v>
      </c>
    </row>
    <row r="369" spans="1:8" x14ac:dyDescent="0.35">
      <c r="A369" s="2">
        <v>43348</v>
      </c>
      <c r="B369" t="s">
        <v>9</v>
      </c>
      <c r="C369" t="s">
        <v>10</v>
      </c>
      <c r="D369" t="s">
        <v>16</v>
      </c>
      <c r="E369" s="7">
        <v>78229.521562499998</v>
      </c>
      <c r="F369" s="7">
        <v>65744.406000000003</v>
      </c>
      <c r="G369" s="8">
        <f>Tabla1[[#This Row],[Ingresos]]-Tabla1[[#This Row],[Gastos]]</f>
        <v>12485.115562499996</v>
      </c>
      <c r="H369" s="13">
        <f>Tabla1[[#This Row],[Beneficio]]/Tabla1[[#This Row],[Ingresos]]</f>
        <v>0.15959595959595954</v>
      </c>
    </row>
    <row r="370" spans="1:8" x14ac:dyDescent="0.35">
      <c r="A370" s="2">
        <v>43348</v>
      </c>
      <c r="B370" t="s">
        <v>6</v>
      </c>
      <c r="C370" t="s">
        <v>13</v>
      </c>
      <c r="D370" t="s">
        <v>19</v>
      </c>
      <c r="E370" s="7">
        <v>63157.184999999998</v>
      </c>
      <c r="F370" s="7">
        <v>54258.75</v>
      </c>
      <c r="G370" s="8">
        <f>Tabla1[[#This Row],[Ingresos]]-Tabla1[[#This Row],[Gastos]]</f>
        <v>8898.4349999999977</v>
      </c>
      <c r="H370" s="13">
        <f>Tabla1[[#This Row],[Beneficio]]/Tabla1[[#This Row],[Ingresos]]</f>
        <v>0.14089347079037798</v>
      </c>
    </row>
    <row r="371" spans="1:8" x14ac:dyDescent="0.35">
      <c r="A371" s="2">
        <v>43349</v>
      </c>
      <c r="B371" t="s">
        <v>5</v>
      </c>
      <c r="C371" t="s">
        <v>12</v>
      </c>
      <c r="D371" t="s">
        <v>15</v>
      </c>
      <c r="E371" s="7">
        <v>47152.474109999996</v>
      </c>
      <c r="F371" s="7">
        <v>33441.471000000005</v>
      </c>
      <c r="G371" s="8">
        <f>Tabla1[[#This Row],[Ingresos]]-Tabla1[[#This Row],[Gastos]]</f>
        <v>13711.003109999991</v>
      </c>
      <c r="H371" s="13">
        <f>Tabla1[[#This Row],[Beneficio]]/Tabla1[[#This Row],[Ingresos]]</f>
        <v>0.29078014184397144</v>
      </c>
    </row>
    <row r="372" spans="1:8" x14ac:dyDescent="0.35">
      <c r="A372" s="2">
        <v>43350</v>
      </c>
      <c r="B372" t="s">
        <v>5</v>
      </c>
      <c r="C372" t="s">
        <v>43</v>
      </c>
      <c r="D372" t="s">
        <v>19</v>
      </c>
      <c r="E372" s="7">
        <v>199924.19999999998</v>
      </c>
      <c r="F372" s="7">
        <v>193725</v>
      </c>
      <c r="G372" s="8">
        <f>Tabla1[[#This Row],[Ingresos]]-Tabla1[[#This Row],[Gastos]]</f>
        <v>6199.1999999999825</v>
      </c>
      <c r="H372" s="13">
        <f>Tabla1[[#This Row],[Beneficio]]/Tabla1[[#This Row],[Ingresos]]</f>
        <v>3.1007751937984412E-2</v>
      </c>
    </row>
    <row r="373" spans="1:8" x14ac:dyDescent="0.35">
      <c r="A373" s="2">
        <v>43351</v>
      </c>
      <c r="B373" t="s">
        <v>7</v>
      </c>
      <c r="C373" t="s">
        <v>43</v>
      </c>
      <c r="D373" t="s">
        <v>19</v>
      </c>
      <c r="E373" s="7">
        <v>1065387.7552499999</v>
      </c>
      <c r="F373" s="7">
        <v>975629.81249999988</v>
      </c>
      <c r="G373" s="8">
        <f>Tabla1[[#This Row],[Ingresos]]-Tabla1[[#This Row],[Gastos]]</f>
        <v>89757.942750000046</v>
      </c>
      <c r="H373" s="13">
        <f>Tabla1[[#This Row],[Beneficio]]/Tabla1[[#This Row],[Ingresos]]</f>
        <v>8.4249084249084297E-2</v>
      </c>
    </row>
    <row r="374" spans="1:8" x14ac:dyDescent="0.35">
      <c r="A374" s="2">
        <v>43352</v>
      </c>
      <c r="B374" t="s">
        <v>8</v>
      </c>
      <c r="C374" t="s">
        <v>12</v>
      </c>
      <c r="D374" t="s">
        <v>15</v>
      </c>
      <c r="E374" s="7">
        <v>11180.862000000001</v>
      </c>
      <c r="F374" s="7">
        <v>8470.35</v>
      </c>
      <c r="G374" s="8">
        <f>Tabla1[[#This Row],[Ingresos]]-Tabla1[[#This Row],[Gastos]]</f>
        <v>2710.5120000000006</v>
      </c>
      <c r="H374" s="13">
        <f>Tabla1[[#This Row],[Beneficio]]/Tabla1[[#This Row],[Ingresos]]</f>
        <v>0.24242424242424246</v>
      </c>
    </row>
    <row r="375" spans="1:8" x14ac:dyDescent="0.35">
      <c r="A375" s="2">
        <v>43352</v>
      </c>
      <c r="B375" t="s">
        <v>9</v>
      </c>
      <c r="C375" t="s">
        <v>12</v>
      </c>
      <c r="D375" t="s">
        <v>15</v>
      </c>
      <c r="E375" s="7">
        <v>40546.737000000001</v>
      </c>
      <c r="F375" s="7">
        <v>30034.619999999995</v>
      </c>
      <c r="G375" s="8">
        <f>Tabla1[[#This Row],[Ingresos]]-Tabla1[[#This Row],[Gastos]]</f>
        <v>10512.117000000006</v>
      </c>
      <c r="H375" s="13">
        <f>Tabla1[[#This Row],[Beneficio]]/Tabla1[[#This Row],[Ingresos]]</f>
        <v>0.25925925925925941</v>
      </c>
    </row>
    <row r="376" spans="1:8" x14ac:dyDescent="0.35">
      <c r="A376" s="2">
        <v>43352</v>
      </c>
      <c r="B376" t="s">
        <v>9</v>
      </c>
      <c r="C376" t="s">
        <v>13</v>
      </c>
      <c r="D376" t="s">
        <v>19</v>
      </c>
      <c r="E376" s="7">
        <v>39372.479999999996</v>
      </c>
      <c r="F376" s="7">
        <v>35280</v>
      </c>
      <c r="G376" s="8">
        <f>Tabla1[[#This Row],[Ingresos]]-Tabla1[[#This Row],[Gastos]]</f>
        <v>4092.4799999999959</v>
      </c>
      <c r="H376" s="13">
        <f>Tabla1[[#This Row],[Beneficio]]/Tabla1[[#This Row],[Ingresos]]</f>
        <v>0.10394265232974902</v>
      </c>
    </row>
    <row r="377" spans="1:8" x14ac:dyDescent="0.35">
      <c r="A377" s="2">
        <v>43353</v>
      </c>
      <c r="B377" t="s">
        <v>5</v>
      </c>
      <c r="C377" t="s">
        <v>11</v>
      </c>
      <c r="D377" t="s">
        <v>16</v>
      </c>
      <c r="E377" s="7">
        <v>37161.670673076922</v>
      </c>
      <c r="F377" s="7">
        <v>32545.8</v>
      </c>
      <c r="G377" s="8">
        <f>Tabla1[[#This Row],[Ingresos]]-Tabla1[[#This Row],[Gastos]]</f>
        <v>4615.8706730769227</v>
      </c>
      <c r="H377" s="13">
        <f>Tabla1[[#This Row],[Beneficio]]/Tabla1[[#This Row],[Ingresos]]</f>
        <v>0.12421052631578947</v>
      </c>
    </row>
    <row r="378" spans="1:8" x14ac:dyDescent="0.35">
      <c r="A378" s="2">
        <v>43354</v>
      </c>
      <c r="B378" t="s">
        <v>7</v>
      </c>
      <c r="C378" t="s">
        <v>13</v>
      </c>
      <c r="D378" t="s">
        <v>17</v>
      </c>
      <c r="E378" s="7">
        <v>75411</v>
      </c>
      <c r="F378" s="7">
        <v>58967.999999999993</v>
      </c>
      <c r="G378" s="8">
        <f>Tabla1[[#This Row],[Ingresos]]-Tabla1[[#This Row],[Gastos]]</f>
        <v>16443.000000000007</v>
      </c>
      <c r="H378" s="13">
        <f>Tabla1[[#This Row],[Beneficio]]/Tabla1[[#This Row],[Ingresos]]</f>
        <v>0.21804511278195499</v>
      </c>
    </row>
    <row r="379" spans="1:8" x14ac:dyDescent="0.35">
      <c r="A379" s="2">
        <v>43354</v>
      </c>
      <c r="B379" t="s">
        <v>6</v>
      </c>
      <c r="C379" t="s">
        <v>43</v>
      </c>
      <c r="D379" t="s">
        <v>17</v>
      </c>
      <c r="E379" s="7">
        <v>39905.69184</v>
      </c>
      <c r="F379" s="7">
        <v>21687.875999999997</v>
      </c>
      <c r="G379" s="8">
        <f>Tabla1[[#This Row],[Ingresos]]-Tabla1[[#This Row],[Gastos]]</f>
        <v>18217.815840000003</v>
      </c>
      <c r="H379" s="13">
        <f>Tabla1[[#This Row],[Beneficio]]/Tabla1[[#This Row],[Ingresos]]</f>
        <v>0.45652173913043487</v>
      </c>
    </row>
    <row r="380" spans="1:8" x14ac:dyDescent="0.35">
      <c r="A380" s="2">
        <v>43355</v>
      </c>
      <c r="B380" t="s">
        <v>5</v>
      </c>
      <c r="C380" t="s">
        <v>10</v>
      </c>
      <c r="D380" t="s">
        <v>17</v>
      </c>
      <c r="E380" s="7">
        <v>8408.24712</v>
      </c>
      <c r="F380" s="7">
        <v>6673.2119999999995</v>
      </c>
      <c r="G380" s="8">
        <f>Tabla1[[#This Row],[Ingresos]]-Tabla1[[#This Row],[Gastos]]</f>
        <v>1735.0351200000005</v>
      </c>
      <c r="H380" s="13">
        <f>Tabla1[[#This Row],[Beneficio]]/Tabla1[[#This Row],[Ingresos]]</f>
        <v>0.20634920634920639</v>
      </c>
    </row>
    <row r="381" spans="1:8" x14ac:dyDescent="0.35">
      <c r="A381" s="2">
        <v>43355</v>
      </c>
      <c r="B381" t="s">
        <v>7</v>
      </c>
      <c r="C381" t="s">
        <v>13</v>
      </c>
      <c r="D381" t="s">
        <v>18</v>
      </c>
      <c r="E381" s="7">
        <v>3248.577738</v>
      </c>
      <c r="F381" s="7">
        <v>2800.4980500000006</v>
      </c>
      <c r="G381" s="8">
        <f>Tabla1[[#This Row],[Ingresos]]-Tabla1[[#This Row],[Gastos]]</f>
        <v>448.07968799999935</v>
      </c>
      <c r="H381" s="13">
        <f>Tabla1[[#This Row],[Beneficio]]/Tabla1[[#This Row],[Ingresos]]</f>
        <v>0.13793103448275842</v>
      </c>
    </row>
    <row r="382" spans="1:8" x14ac:dyDescent="0.35">
      <c r="A382" s="2">
        <v>43356</v>
      </c>
      <c r="B382" t="s">
        <v>6</v>
      </c>
      <c r="C382" t="s">
        <v>43</v>
      </c>
      <c r="D382" t="s">
        <v>16</v>
      </c>
      <c r="E382" s="7">
        <v>41998.889423076922</v>
      </c>
      <c r="F382" s="7">
        <v>37573.199999999997</v>
      </c>
      <c r="G382" s="8">
        <f>Tabla1[[#This Row],[Ingresos]]-Tabla1[[#This Row],[Gastos]]</f>
        <v>4425.6894230769249</v>
      </c>
      <c r="H382" s="13">
        <f>Tabla1[[#This Row],[Beneficio]]/Tabla1[[#This Row],[Ingresos]]</f>
        <v>0.10537634408602155</v>
      </c>
    </row>
    <row r="383" spans="1:8" x14ac:dyDescent="0.35">
      <c r="A383" s="2">
        <v>43356</v>
      </c>
      <c r="B383" t="s">
        <v>8</v>
      </c>
      <c r="C383" t="s">
        <v>13</v>
      </c>
      <c r="D383" t="s">
        <v>16</v>
      </c>
      <c r="E383" s="7">
        <v>61183.375312499993</v>
      </c>
      <c r="F383" s="7">
        <v>55939.085999999996</v>
      </c>
      <c r="G383" s="8">
        <f>Tabla1[[#This Row],[Ingresos]]-Tabla1[[#This Row],[Gastos]]</f>
        <v>5244.2893124999973</v>
      </c>
      <c r="H383" s="13">
        <f>Tabla1[[#This Row],[Beneficio]]/Tabla1[[#This Row],[Ingresos]]</f>
        <v>8.5714285714285673E-2</v>
      </c>
    </row>
    <row r="384" spans="1:8" x14ac:dyDescent="0.35">
      <c r="A384" s="2">
        <v>43356</v>
      </c>
      <c r="B384" t="s">
        <v>5</v>
      </c>
      <c r="C384" t="s">
        <v>43</v>
      </c>
      <c r="D384" t="s">
        <v>17</v>
      </c>
      <c r="E384" s="7">
        <v>9443.5739999999987</v>
      </c>
      <c r="F384" s="7">
        <v>5490.45</v>
      </c>
      <c r="G384" s="8">
        <f>Tabla1[[#This Row],[Ingresos]]-Tabla1[[#This Row],[Gastos]]</f>
        <v>3953.1239999999989</v>
      </c>
      <c r="H384" s="13">
        <f>Tabla1[[#This Row],[Beneficio]]/Tabla1[[#This Row],[Ingresos]]</f>
        <v>0.41860465116279066</v>
      </c>
    </row>
    <row r="385" spans="1:8" x14ac:dyDescent="0.35">
      <c r="A385" s="2">
        <v>43357</v>
      </c>
      <c r="B385" t="s">
        <v>5</v>
      </c>
      <c r="C385" t="s">
        <v>13</v>
      </c>
      <c r="D385" t="s">
        <v>15</v>
      </c>
      <c r="E385" s="7">
        <v>2491.2562499999999</v>
      </c>
      <c r="F385" s="7">
        <v>1748.25</v>
      </c>
      <c r="G385" s="8">
        <f>Tabla1[[#This Row],[Ingresos]]-Tabla1[[#This Row],[Gastos]]</f>
        <v>743.00624999999991</v>
      </c>
      <c r="H385" s="13">
        <f>Tabla1[[#This Row],[Beneficio]]/Tabla1[[#This Row],[Ingresos]]</f>
        <v>0.2982456140350877</v>
      </c>
    </row>
    <row r="386" spans="1:8" x14ac:dyDescent="0.35">
      <c r="A386" s="2">
        <v>43359</v>
      </c>
      <c r="B386" t="s">
        <v>8</v>
      </c>
      <c r="C386" t="s">
        <v>13</v>
      </c>
      <c r="D386" t="s">
        <v>16</v>
      </c>
      <c r="E386" s="7">
        <v>15674.278846153844</v>
      </c>
      <c r="F386" s="7">
        <v>13041</v>
      </c>
      <c r="G386" s="8">
        <f>Tabla1[[#This Row],[Ingresos]]-Tabla1[[#This Row],[Gastos]]</f>
        <v>2633.2788461538439</v>
      </c>
      <c r="H386" s="13">
        <f>Tabla1[[#This Row],[Beneficio]]/Tabla1[[#This Row],[Ingresos]]</f>
        <v>0.16799999999999987</v>
      </c>
    </row>
    <row r="387" spans="1:8" x14ac:dyDescent="0.35">
      <c r="A387" s="2">
        <v>43359</v>
      </c>
      <c r="B387" t="s">
        <v>9</v>
      </c>
      <c r="C387" t="s">
        <v>12</v>
      </c>
      <c r="D387" t="s">
        <v>16</v>
      </c>
      <c r="E387" s="7">
        <v>382933.53605769225</v>
      </c>
      <c r="F387" s="7">
        <v>335369.15999999997</v>
      </c>
      <c r="G387" s="8">
        <f>Tabla1[[#This Row],[Ingresos]]-Tabla1[[#This Row],[Gastos]]</f>
        <v>47564.37605769228</v>
      </c>
      <c r="H387" s="13">
        <f>Tabla1[[#This Row],[Beneficio]]/Tabla1[[#This Row],[Ingresos]]</f>
        <v>0.12421052631578942</v>
      </c>
    </row>
    <row r="388" spans="1:8" x14ac:dyDescent="0.35">
      <c r="A388" s="2">
        <v>43359</v>
      </c>
      <c r="B388" t="s">
        <v>6</v>
      </c>
      <c r="C388" t="s">
        <v>43</v>
      </c>
      <c r="D388" t="s">
        <v>16</v>
      </c>
      <c r="E388" s="7">
        <v>676853.08788461529</v>
      </c>
      <c r="F388" s="7">
        <v>605528.78399999999</v>
      </c>
      <c r="G388" s="8">
        <f>Tabla1[[#This Row],[Ingresos]]-Tabla1[[#This Row],[Gastos]]</f>
        <v>71324.303884615307</v>
      </c>
      <c r="H388" s="13">
        <f>Tabla1[[#This Row],[Beneficio]]/Tabla1[[#This Row],[Ingresos]]</f>
        <v>0.10537634408602141</v>
      </c>
    </row>
    <row r="389" spans="1:8" x14ac:dyDescent="0.35">
      <c r="A389" s="2">
        <v>43360</v>
      </c>
      <c r="B389" t="s">
        <v>6</v>
      </c>
      <c r="C389" t="s">
        <v>10</v>
      </c>
      <c r="D389" t="s">
        <v>17</v>
      </c>
      <c r="E389" s="7">
        <v>722.35799999999995</v>
      </c>
      <c r="F389" s="7">
        <v>567</v>
      </c>
      <c r="G389" s="8">
        <f>Tabla1[[#This Row],[Ingresos]]-Tabla1[[#This Row],[Gastos]]</f>
        <v>155.35799999999995</v>
      </c>
      <c r="H389" s="13">
        <f>Tabla1[[#This Row],[Beneficio]]/Tabla1[[#This Row],[Ingresos]]</f>
        <v>0.21507064364207215</v>
      </c>
    </row>
    <row r="390" spans="1:8" x14ac:dyDescent="0.35">
      <c r="A390" s="2">
        <v>43361</v>
      </c>
      <c r="B390" t="s">
        <v>9</v>
      </c>
      <c r="C390" t="s">
        <v>10</v>
      </c>
      <c r="D390" t="s">
        <v>17</v>
      </c>
      <c r="E390" s="7">
        <v>13134.839255999997</v>
      </c>
      <c r="F390" s="7">
        <v>10661.395499999999</v>
      </c>
      <c r="G390" s="8">
        <f>Tabla1[[#This Row],[Ingresos]]-Tabla1[[#This Row],[Gastos]]</f>
        <v>2473.4437559999988</v>
      </c>
      <c r="H390" s="13">
        <f>Tabla1[[#This Row],[Beneficio]]/Tabla1[[#This Row],[Ingresos]]</f>
        <v>0.18831168831168826</v>
      </c>
    </row>
    <row r="391" spans="1:8" x14ac:dyDescent="0.35">
      <c r="A391" s="2">
        <v>43361</v>
      </c>
      <c r="B391" t="s">
        <v>6</v>
      </c>
      <c r="C391" t="s">
        <v>11</v>
      </c>
      <c r="D391" t="s">
        <v>19</v>
      </c>
      <c r="E391" s="7">
        <v>302006.25630000001</v>
      </c>
      <c r="F391" s="7">
        <v>270614.92499999999</v>
      </c>
      <c r="G391" s="8">
        <f>Tabla1[[#This Row],[Ingresos]]-Tabla1[[#This Row],[Gastos]]</f>
        <v>31391.33130000002</v>
      </c>
      <c r="H391" s="13">
        <f>Tabla1[[#This Row],[Beneficio]]/Tabla1[[#This Row],[Ingresos]]</f>
        <v>0.10394265232974917</v>
      </c>
    </row>
    <row r="392" spans="1:8" x14ac:dyDescent="0.35">
      <c r="A392" s="2">
        <v>43362</v>
      </c>
      <c r="B392" t="s">
        <v>6</v>
      </c>
      <c r="C392" t="s">
        <v>10</v>
      </c>
      <c r="D392" t="s">
        <v>19</v>
      </c>
      <c r="E392" s="7">
        <v>113014.44</v>
      </c>
      <c r="F392" s="7">
        <v>107021.25</v>
      </c>
      <c r="G392" s="8">
        <f>Tabla1[[#This Row],[Ingresos]]-Tabla1[[#This Row],[Gastos]]</f>
        <v>5993.1900000000023</v>
      </c>
      <c r="H392" s="13">
        <f>Tabla1[[#This Row],[Beneficio]]/Tabla1[[#This Row],[Ingresos]]</f>
        <v>5.3030303030303053E-2</v>
      </c>
    </row>
    <row r="393" spans="1:8" x14ac:dyDescent="0.35">
      <c r="A393" s="2">
        <v>43362</v>
      </c>
      <c r="B393" t="s">
        <v>5</v>
      </c>
      <c r="C393" t="s">
        <v>43</v>
      </c>
      <c r="D393" t="s">
        <v>19</v>
      </c>
      <c r="E393" s="7">
        <v>1122440.1457499999</v>
      </c>
      <c r="F393" s="7">
        <v>944814.93749999988</v>
      </c>
      <c r="G393" s="8">
        <f>Tabla1[[#This Row],[Ingresos]]-Tabla1[[#This Row],[Gastos]]</f>
        <v>177625.20825000003</v>
      </c>
      <c r="H393" s="13">
        <f>Tabla1[[#This Row],[Beneficio]]/Tabla1[[#This Row],[Ingresos]]</f>
        <v>0.15824915824915828</v>
      </c>
    </row>
    <row r="394" spans="1:8" x14ac:dyDescent="0.35">
      <c r="A394" s="2">
        <v>43363</v>
      </c>
      <c r="B394" t="s">
        <v>8</v>
      </c>
      <c r="C394" t="s">
        <v>43</v>
      </c>
      <c r="D394" t="s">
        <v>17</v>
      </c>
      <c r="E394" s="7">
        <v>75061.993545000019</v>
      </c>
      <c r="F394" s="7">
        <v>38691.749249999993</v>
      </c>
      <c r="G394" s="8">
        <f>Tabla1[[#This Row],[Ingresos]]-Tabla1[[#This Row],[Gastos]]</f>
        <v>36370.244295000026</v>
      </c>
      <c r="H394" s="13">
        <f>Tabla1[[#This Row],[Beneficio]]/Tabla1[[#This Row],[Ingresos]]</f>
        <v>0.48453608247422703</v>
      </c>
    </row>
    <row r="395" spans="1:8" x14ac:dyDescent="0.35">
      <c r="A395" s="2">
        <v>43363</v>
      </c>
      <c r="B395" t="s">
        <v>9</v>
      </c>
      <c r="C395" t="s">
        <v>43</v>
      </c>
      <c r="D395" t="s">
        <v>17</v>
      </c>
      <c r="E395" s="7">
        <v>346415.73119999998</v>
      </c>
      <c r="F395" s="7">
        <v>292428.864</v>
      </c>
      <c r="G395" s="8">
        <f>Tabla1[[#This Row],[Ingresos]]-Tabla1[[#This Row],[Gastos]]</f>
        <v>53986.867199999979</v>
      </c>
      <c r="H395" s="13">
        <f>Tabla1[[#This Row],[Beneficio]]/Tabla1[[#This Row],[Ingresos]]</f>
        <v>0.15584415584415579</v>
      </c>
    </row>
    <row r="396" spans="1:8" x14ac:dyDescent="0.35">
      <c r="A396" s="2">
        <v>43365</v>
      </c>
      <c r="B396" t="s">
        <v>5</v>
      </c>
      <c r="C396" t="s">
        <v>43</v>
      </c>
      <c r="D396" t="s">
        <v>18</v>
      </c>
      <c r="E396" s="7">
        <v>9180.0218160000004</v>
      </c>
      <c r="F396" s="7">
        <v>7025.5268999999998</v>
      </c>
      <c r="G396" s="8">
        <f>Tabla1[[#This Row],[Ingresos]]-Tabla1[[#This Row],[Gastos]]</f>
        <v>2154.4949160000006</v>
      </c>
      <c r="H396" s="13">
        <f>Tabla1[[#This Row],[Beneficio]]/Tabla1[[#This Row],[Ingresos]]</f>
        <v>0.23469387755102045</v>
      </c>
    </row>
    <row r="397" spans="1:8" x14ac:dyDescent="0.35">
      <c r="A397" s="2">
        <v>43366</v>
      </c>
      <c r="B397" t="s">
        <v>5</v>
      </c>
      <c r="C397" t="s">
        <v>13</v>
      </c>
      <c r="D397" t="s">
        <v>16</v>
      </c>
      <c r="E397" s="7">
        <v>73764.51923076922</v>
      </c>
      <c r="F397" s="7">
        <v>68191.199999999997</v>
      </c>
      <c r="G397" s="8">
        <f>Tabla1[[#This Row],[Ingresos]]-Tabla1[[#This Row],[Gastos]]</f>
        <v>5573.3192307692225</v>
      </c>
      <c r="H397" s="13">
        <f>Tabla1[[#This Row],[Beneficio]]/Tabla1[[#This Row],[Ingresos]]</f>
        <v>7.5555555555555459E-2</v>
      </c>
    </row>
    <row r="398" spans="1:8" x14ac:dyDescent="0.35">
      <c r="A398" s="2">
        <v>43366</v>
      </c>
      <c r="B398" t="s">
        <v>6</v>
      </c>
      <c r="C398" t="s">
        <v>12</v>
      </c>
      <c r="D398" t="s">
        <v>17</v>
      </c>
      <c r="E398" s="7">
        <v>4583.4465600000003</v>
      </c>
      <c r="F398" s="7">
        <v>2604.2309999999998</v>
      </c>
      <c r="G398" s="8">
        <f>Tabla1[[#This Row],[Ingresos]]-Tabla1[[#This Row],[Gastos]]</f>
        <v>1979.2155600000006</v>
      </c>
      <c r="H398" s="13">
        <f>Tabla1[[#This Row],[Beneficio]]/Tabla1[[#This Row],[Ingresos]]</f>
        <v>0.43181818181818193</v>
      </c>
    </row>
    <row r="399" spans="1:8" x14ac:dyDescent="0.35">
      <c r="A399" s="2">
        <v>43368</v>
      </c>
      <c r="B399" t="s">
        <v>8</v>
      </c>
      <c r="C399" t="s">
        <v>10</v>
      </c>
      <c r="D399" t="s">
        <v>18</v>
      </c>
      <c r="E399" s="7">
        <v>9787.5369899999987</v>
      </c>
      <c r="F399" s="7">
        <v>7414.8007500000012</v>
      </c>
      <c r="G399" s="8">
        <f>Tabla1[[#This Row],[Ingresos]]-Tabla1[[#This Row],[Gastos]]</f>
        <v>2372.7362399999975</v>
      </c>
      <c r="H399" s="13">
        <f>Tabla1[[#This Row],[Beneficio]]/Tabla1[[#This Row],[Ingresos]]</f>
        <v>0.24242424242424221</v>
      </c>
    </row>
    <row r="400" spans="1:8" x14ac:dyDescent="0.35">
      <c r="A400" s="2">
        <v>43371</v>
      </c>
      <c r="B400" t="s">
        <v>5</v>
      </c>
      <c r="C400" t="s">
        <v>12</v>
      </c>
      <c r="D400" t="s">
        <v>15</v>
      </c>
      <c r="E400" s="7">
        <v>8913.7124999999996</v>
      </c>
      <c r="F400" s="7">
        <v>6063.75</v>
      </c>
      <c r="G400" s="8">
        <f>Tabla1[[#This Row],[Ingresos]]-Tabla1[[#This Row],[Gastos]]</f>
        <v>2849.9624999999996</v>
      </c>
      <c r="H400" s="13">
        <f>Tabla1[[#This Row],[Beneficio]]/Tabla1[[#This Row],[Ingresos]]</f>
        <v>0.31972789115646255</v>
      </c>
    </row>
    <row r="401" spans="1:8" x14ac:dyDescent="0.35">
      <c r="A401" s="2">
        <v>43371</v>
      </c>
      <c r="B401" t="s">
        <v>8</v>
      </c>
      <c r="C401" t="s">
        <v>12</v>
      </c>
      <c r="D401" t="s">
        <v>17</v>
      </c>
      <c r="E401" s="7">
        <v>62091.671039999987</v>
      </c>
      <c r="F401" s="7">
        <v>32339.412</v>
      </c>
      <c r="G401" s="8">
        <f>Tabla1[[#This Row],[Ingresos]]-Tabla1[[#This Row],[Gastos]]</f>
        <v>29752.259039999986</v>
      </c>
      <c r="H401" s="13">
        <f>Tabla1[[#This Row],[Beneficio]]/Tabla1[[#This Row],[Ingresos]]</f>
        <v>0.47916666666666657</v>
      </c>
    </row>
    <row r="402" spans="1:8" x14ac:dyDescent="0.35">
      <c r="A402" s="2">
        <v>43372</v>
      </c>
      <c r="B402" t="s">
        <v>6</v>
      </c>
      <c r="C402" t="s">
        <v>43</v>
      </c>
      <c r="D402" t="s">
        <v>16</v>
      </c>
      <c r="E402" s="7">
        <v>47718.433774038458</v>
      </c>
      <c r="F402" s="7">
        <v>41791.301999999996</v>
      </c>
      <c r="G402" s="8">
        <f>Tabla1[[#This Row],[Ingresos]]-Tabla1[[#This Row],[Gastos]]</f>
        <v>5927.131774038462</v>
      </c>
      <c r="H402" s="13">
        <f>Tabla1[[#This Row],[Beneficio]]/Tabla1[[#This Row],[Ingresos]]</f>
        <v>0.12421052631578949</v>
      </c>
    </row>
    <row r="403" spans="1:8" x14ac:dyDescent="0.35">
      <c r="A403" s="2">
        <v>43372</v>
      </c>
      <c r="B403" t="s">
        <v>7</v>
      </c>
      <c r="C403" t="s">
        <v>10</v>
      </c>
      <c r="D403" t="s">
        <v>18</v>
      </c>
      <c r="E403" s="7">
        <v>1986.3144</v>
      </c>
      <c r="F403" s="7">
        <v>1712.3400000000001</v>
      </c>
      <c r="G403" s="8">
        <f>Tabla1[[#This Row],[Ingresos]]-Tabla1[[#This Row],[Gastos]]</f>
        <v>273.97439999999983</v>
      </c>
      <c r="H403" s="13">
        <f>Tabla1[[#This Row],[Beneficio]]/Tabla1[[#This Row],[Ingresos]]</f>
        <v>0.13793103448275854</v>
      </c>
    </row>
    <row r="404" spans="1:8" x14ac:dyDescent="0.35">
      <c r="A404" s="2">
        <v>43374</v>
      </c>
      <c r="B404" t="s">
        <v>5</v>
      </c>
      <c r="C404" t="s">
        <v>43</v>
      </c>
      <c r="D404" t="s">
        <v>17</v>
      </c>
      <c r="E404" s="7">
        <v>745.73100000000011</v>
      </c>
      <c r="F404" s="7">
        <v>598.5</v>
      </c>
      <c r="G404" s="8">
        <f>Tabla1[[#This Row],[Ingresos]]-Tabla1[[#This Row],[Gastos]]</f>
        <v>147.23100000000011</v>
      </c>
      <c r="H404" s="13">
        <f>Tabla1[[#This Row],[Beneficio]]/Tabla1[[#This Row],[Ingresos]]</f>
        <v>0.19743178170144474</v>
      </c>
    </row>
    <row r="405" spans="1:8" x14ac:dyDescent="0.35">
      <c r="A405" s="2">
        <v>43375</v>
      </c>
      <c r="B405" t="s">
        <v>8</v>
      </c>
      <c r="C405" t="s">
        <v>11</v>
      </c>
      <c r="D405" t="s">
        <v>17</v>
      </c>
      <c r="E405" s="7">
        <v>2539.1205</v>
      </c>
      <c r="F405" s="7">
        <v>1308.8249999999998</v>
      </c>
      <c r="G405" s="8">
        <f>Tabla1[[#This Row],[Ingresos]]-Tabla1[[#This Row],[Gastos]]</f>
        <v>1230.2955000000002</v>
      </c>
      <c r="H405" s="13">
        <f>Tabla1[[#This Row],[Beneficio]]/Tabla1[[#This Row],[Ingresos]]</f>
        <v>0.48453608247422686</v>
      </c>
    </row>
    <row r="406" spans="1:8" x14ac:dyDescent="0.35">
      <c r="A406" s="2">
        <v>43375</v>
      </c>
      <c r="B406" t="s">
        <v>8</v>
      </c>
      <c r="C406" t="s">
        <v>12</v>
      </c>
      <c r="D406" t="s">
        <v>17</v>
      </c>
      <c r="E406" s="7">
        <v>315259.875</v>
      </c>
      <c r="F406" s="7">
        <v>272317.5</v>
      </c>
      <c r="G406" s="8">
        <f>Tabla1[[#This Row],[Ingresos]]-Tabla1[[#This Row],[Gastos]]</f>
        <v>42942.375</v>
      </c>
      <c r="H406" s="13">
        <f>Tabla1[[#This Row],[Beneficio]]/Tabla1[[#This Row],[Ingresos]]</f>
        <v>0.13621262458471761</v>
      </c>
    </row>
    <row r="407" spans="1:8" x14ac:dyDescent="0.35">
      <c r="A407" s="2">
        <v>43375</v>
      </c>
      <c r="B407" t="s">
        <v>9</v>
      </c>
      <c r="C407" t="s">
        <v>13</v>
      </c>
      <c r="D407" t="s">
        <v>19</v>
      </c>
      <c r="E407" s="7">
        <v>444043.78200000001</v>
      </c>
      <c r="F407" s="7">
        <v>406633.5</v>
      </c>
      <c r="G407" s="8">
        <f>Tabla1[[#This Row],[Ingresos]]-Tabla1[[#This Row],[Gastos]]</f>
        <v>37410.282000000007</v>
      </c>
      <c r="H407" s="13">
        <f>Tabla1[[#This Row],[Beneficio]]/Tabla1[[#This Row],[Ingresos]]</f>
        <v>8.4249084249084269E-2</v>
      </c>
    </row>
    <row r="408" spans="1:8" x14ac:dyDescent="0.35">
      <c r="A408" s="2">
        <v>43376</v>
      </c>
      <c r="B408" t="s">
        <v>9</v>
      </c>
      <c r="C408" t="s">
        <v>10</v>
      </c>
      <c r="D408" t="s">
        <v>16</v>
      </c>
      <c r="E408" s="7">
        <v>78346.996874999997</v>
      </c>
      <c r="F408" s="7">
        <v>76687.884000000005</v>
      </c>
      <c r="G408" s="8">
        <f>Tabla1[[#This Row],[Ingresos]]-Tabla1[[#This Row],[Gastos]]</f>
        <v>1659.1128749999916</v>
      </c>
      <c r="H408" s="13">
        <f>Tabla1[[#This Row],[Beneficio]]/Tabla1[[#This Row],[Ingresos]]</f>
        <v>2.1176470588235189E-2</v>
      </c>
    </row>
    <row r="409" spans="1:8" x14ac:dyDescent="0.35">
      <c r="A409" s="2">
        <v>43377</v>
      </c>
      <c r="B409" t="s">
        <v>9</v>
      </c>
      <c r="C409" t="s">
        <v>10</v>
      </c>
      <c r="D409" t="s">
        <v>16</v>
      </c>
      <c r="E409" s="7">
        <v>60598.124999999993</v>
      </c>
      <c r="F409" s="7">
        <v>56019.6</v>
      </c>
      <c r="G409" s="8">
        <f>Tabla1[[#This Row],[Ingresos]]-Tabla1[[#This Row],[Gastos]]</f>
        <v>4578.5249999999942</v>
      </c>
      <c r="H409" s="13">
        <f>Tabla1[[#This Row],[Beneficio]]/Tabla1[[#This Row],[Ingresos]]</f>
        <v>7.5555555555555473E-2</v>
      </c>
    </row>
    <row r="410" spans="1:8" x14ac:dyDescent="0.35">
      <c r="A410" s="2">
        <v>43377</v>
      </c>
      <c r="B410" t="s">
        <v>5</v>
      </c>
      <c r="C410" t="s">
        <v>10</v>
      </c>
      <c r="D410" t="s">
        <v>17</v>
      </c>
      <c r="E410" s="7">
        <v>17498.449583999998</v>
      </c>
      <c r="F410" s="7">
        <v>14533.596000000001</v>
      </c>
      <c r="G410" s="8">
        <f>Tabla1[[#This Row],[Ingresos]]-Tabla1[[#This Row],[Gastos]]</f>
        <v>2964.8535839999968</v>
      </c>
      <c r="H410" s="13">
        <f>Tabla1[[#This Row],[Beneficio]]/Tabla1[[#This Row],[Ingresos]]</f>
        <v>0.16943521594684369</v>
      </c>
    </row>
    <row r="411" spans="1:8" x14ac:dyDescent="0.35">
      <c r="A411" s="2">
        <v>43377</v>
      </c>
      <c r="B411" t="s">
        <v>8</v>
      </c>
      <c r="C411" t="s">
        <v>12</v>
      </c>
      <c r="D411" t="s">
        <v>18</v>
      </c>
      <c r="E411" s="7">
        <v>30657.699071999996</v>
      </c>
      <c r="F411" s="7">
        <v>25267.3344</v>
      </c>
      <c r="G411" s="8">
        <f>Tabla1[[#This Row],[Ingresos]]-Tabla1[[#This Row],[Gastos]]</f>
        <v>5390.3646719999961</v>
      </c>
      <c r="H411" s="13">
        <f>Tabla1[[#This Row],[Beneficio]]/Tabla1[[#This Row],[Ingresos]]</f>
        <v>0.17582417582417573</v>
      </c>
    </row>
    <row r="412" spans="1:8" x14ac:dyDescent="0.35">
      <c r="A412" s="2">
        <v>43378</v>
      </c>
      <c r="B412" t="s">
        <v>8</v>
      </c>
      <c r="C412" t="s">
        <v>12</v>
      </c>
      <c r="D412" t="s">
        <v>15</v>
      </c>
      <c r="E412" s="7">
        <v>12631.626</v>
      </c>
      <c r="F412" s="7">
        <v>8958.5999999999985</v>
      </c>
      <c r="G412" s="8">
        <f>Tabla1[[#This Row],[Ingresos]]-Tabla1[[#This Row],[Gastos]]</f>
        <v>3673.0260000000017</v>
      </c>
      <c r="H412" s="13">
        <f>Tabla1[[#This Row],[Beneficio]]/Tabla1[[#This Row],[Ingresos]]</f>
        <v>0.29078014184397177</v>
      </c>
    </row>
    <row r="413" spans="1:8" x14ac:dyDescent="0.35">
      <c r="A413" s="2">
        <v>43378</v>
      </c>
      <c r="B413" t="s">
        <v>9</v>
      </c>
      <c r="C413" t="s">
        <v>13</v>
      </c>
      <c r="D413" t="s">
        <v>17</v>
      </c>
      <c r="E413" s="7">
        <v>8993.5650000000005</v>
      </c>
      <c r="F413" s="7">
        <v>4835.25</v>
      </c>
      <c r="G413" s="8">
        <f>Tabla1[[#This Row],[Ingresos]]-Tabla1[[#This Row],[Gastos]]</f>
        <v>4158.3150000000005</v>
      </c>
      <c r="H413" s="13">
        <f>Tabla1[[#This Row],[Beneficio]]/Tabla1[[#This Row],[Ingresos]]</f>
        <v>0.4623655913978495</v>
      </c>
    </row>
    <row r="414" spans="1:8" x14ac:dyDescent="0.35">
      <c r="A414" s="2">
        <v>43380</v>
      </c>
      <c r="B414" t="s">
        <v>5</v>
      </c>
      <c r="C414" t="s">
        <v>10</v>
      </c>
      <c r="D414" t="s">
        <v>15</v>
      </c>
      <c r="E414" s="7">
        <v>2905.875</v>
      </c>
      <c r="F414" s="7">
        <v>1937.2499999999998</v>
      </c>
      <c r="G414" s="8">
        <f>Tabla1[[#This Row],[Ingresos]]-Tabla1[[#This Row],[Gastos]]</f>
        <v>968.62500000000023</v>
      </c>
      <c r="H414" s="13">
        <f>Tabla1[[#This Row],[Beneficio]]/Tabla1[[#This Row],[Ingresos]]</f>
        <v>0.33333333333333343</v>
      </c>
    </row>
    <row r="415" spans="1:8" x14ac:dyDescent="0.35">
      <c r="A415" s="2">
        <v>43381</v>
      </c>
      <c r="B415" t="s">
        <v>6</v>
      </c>
      <c r="C415" t="s">
        <v>43</v>
      </c>
      <c r="D415" t="s">
        <v>17</v>
      </c>
      <c r="E415" s="7">
        <v>615602.48400000005</v>
      </c>
      <c r="F415" s="7">
        <v>476359.065</v>
      </c>
      <c r="G415" s="8">
        <f>Tabla1[[#This Row],[Ingresos]]-Tabla1[[#This Row],[Gastos]]</f>
        <v>139243.41900000005</v>
      </c>
      <c r="H415" s="13">
        <f>Tabla1[[#This Row],[Beneficio]]/Tabla1[[#This Row],[Ingresos]]</f>
        <v>0.22619047619047625</v>
      </c>
    </row>
    <row r="416" spans="1:8" x14ac:dyDescent="0.35">
      <c r="A416" s="2">
        <v>43381</v>
      </c>
      <c r="B416" t="s">
        <v>5</v>
      </c>
      <c r="C416" t="s">
        <v>11</v>
      </c>
      <c r="D416" t="s">
        <v>17</v>
      </c>
      <c r="E416" s="7">
        <v>163581.54120000001</v>
      </c>
      <c r="F416" s="7">
        <v>138088.31400000001</v>
      </c>
      <c r="G416" s="8">
        <f>Tabla1[[#This Row],[Ingresos]]-Tabla1[[#This Row],[Gastos]]</f>
        <v>25493.227199999994</v>
      </c>
      <c r="H416" s="13">
        <f>Tabla1[[#This Row],[Beneficio]]/Tabla1[[#This Row],[Ingresos]]</f>
        <v>0.15584415584415581</v>
      </c>
    </row>
    <row r="417" spans="1:8" x14ac:dyDescent="0.35">
      <c r="A417" s="2">
        <v>43381</v>
      </c>
      <c r="B417" t="s">
        <v>9</v>
      </c>
      <c r="C417" t="s">
        <v>43</v>
      </c>
      <c r="D417" t="s">
        <v>18</v>
      </c>
      <c r="E417" s="7">
        <v>32273.621856000002</v>
      </c>
      <c r="F417" s="7">
        <v>26027.114400000002</v>
      </c>
      <c r="G417" s="8">
        <f>Tabla1[[#This Row],[Ingresos]]-Tabla1[[#This Row],[Gastos]]</f>
        <v>6246.5074559999994</v>
      </c>
      <c r="H417" s="13">
        <f>Tabla1[[#This Row],[Beneficio]]/Tabla1[[#This Row],[Ingresos]]</f>
        <v>0.19354838709677416</v>
      </c>
    </row>
    <row r="418" spans="1:8" x14ac:dyDescent="0.35">
      <c r="A418" s="2">
        <v>43382</v>
      </c>
      <c r="B418" t="s">
        <v>6</v>
      </c>
      <c r="C418" t="s">
        <v>11</v>
      </c>
      <c r="D418" t="s">
        <v>15</v>
      </c>
      <c r="E418" s="7">
        <v>3090.7169999999996</v>
      </c>
      <c r="F418" s="7">
        <v>2239.6499999999996</v>
      </c>
      <c r="G418" s="8">
        <f>Tabla1[[#This Row],[Ingresos]]-Tabla1[[#This Row],[Gastos]]</f>
        <v>851.06700000000001</v>
      </c>
      <c r="H418" s="13">
        <f>Tabla1[[#This Row],[Beneficio]]/Tabla1[[#This Row],[Ingresos]]</f>
        <v>0.27536231884057977</v>
      </c>
    </row>
    <row r="419" spans="1:8" x14ac:dyDescent="0.35">
      <c r="A419" s="2">
        <v>43385</v>
      </c>
      <c r="B419" t="s">
        <v>8</v>
      </c>
      <c r="C419" t="s">
        <v>43</v>
      </c>
      <c r="D419" t="s">
        <v>15</v>
      </c>
      <c r="E419" s="7">
        <v>6433.3237499999996</v>
      </c>
      <c r="F419" s="7">
        <v>4929.75</v>
      </c>
      <c r="G419" s="8">
        <f>Tabla1[[#This Row],[Ingresos]]-Tabla1[[#This Row],[Gastos]]</f>
        <v>1503.5737499999996</v>
      </c>
      <c r="H419" s="13">
        <f>Tabla1[[#This Row],[Beneficio]]/Tabla1[[#This Row],[Ingresos]]</f>
        <v>0.23371647509578539</v>
      </c>
    </row>
    <row r="420" spans="1:8" x14ac:dyDescent="0.35">
      <c r="A420" s="2">
        <v>43385</v>
      </c>
      <c r="B420" t="s">
        <v>8</v>
      </c>
      <c r="C420" t="s">
        <v>13</v>
      </c>
      <c r="D420" t="s">
        <v>16</v>
      </c>
      <c r="E420" s="7">
        <v>45455.408653846156</v>
      </c>
      <c r="F420" s="7">
        <v>37818.899999999994</v>
      </c>
      <c r="G420" s="8">
        <f>Tabla1[[#This Row],[Ingresos]]-Tabla1[[#This Row],[Gastos]]</f>
        <v>7636.5086538461619</v>
      </c>
      <c r="H420" s="13">
        <f>Tabla1[[#This Row],[Beneficio]]/Tabla1[[#This Row],[Ingresos]]</f>
        <v>0.16800000000000018</v>
      </c>
    </row>
    <row r="421" spans="1:8" x14ac:dyDescent="0.35">
      <c r="A421" s="2">
        <v>43385</v>
      </c>
      <c r="B421" t="s">
        <v>6</v>
      </c>
      <c r="C421" t="s">
        <v>10</v>
      </c>
      <c r="D421" t="s">
        <v>17</v>
      </c>
      <c r="E421" s="7">
        <v>223523.05499999999</v>
      </c>
      <c r="F421" s="7">
        <v>166045.69799999997</v>
      </c>
      <c r="G421" s="8">
        <f>Tabla1[[#This Row],[Ingresos]]-Tabla1[[#This Row],[Gastos]]</f>
        <v>57477.357000000018</v>
      </c>
      <c r="H421" s="13">
        <f>Tabla1[[#This Row],[Beneficio]]/Tabla1[[#This Row],[Ingresos]]</f>
        <v>0.25714285714285723</v>
      </c>
    </row>
    <row r="422" spans="1:8" x14ac:dyDescent="0.35">
      <c r="A422" s="2">
        <v>43385</v>
      </c>
      <c r="B422" t="s">
        <v>5</v>
      </c>
      <c r="C422" t="s">
        <v>43</v>
      </c>
      <c r="D422" t="s">
        <v>17</v>
      </c>
      <c r="E422" s="7">
        <v>4360.8442500000001</v>
      </c>
      <c r="F422" s="7">
        <v>2565.2024999999999</v>
      </c>
      <c r="G422" s="8">
        <f>Tabla1[[#This Row],[Ingresos]]-Tabla1[[#This Row],[Gastos]]</f>
        <v>1795.6417500000002</v>
      </c>
      <c r="H422" s="13">
        <f>Tabla1[[#This Row],[Beneficio]]/Tabla1[[#This Row],[Ingresos]]</f>
        <v>0.41176470588235298</v>
      </c>
    </row>
    <row r="423" spans="1:8" x14ac:dyDescent="0.35">
      <c r="A423" s="2">
        <v>43385</v>
      </c>
      <c r="B423" t="s">
        <v>7</v>
      </c>
      <c r="C423" t="s">
        <v>10</v>
      </c>
      <c r="D423" t="s">
        <v>19</v>
      </c>
      <c r="E423" s="7">
        <v>55206.899999999994</v>
      </c>
      <c r="F423" s="7">
        <v>50006.25</v>
      </c>
      <c r="G423" s="8">
        <f>Tabla1[[#This Row],[Ingresos]]-Tabla1[[#This Row],[Gastos]]</f>
        <v>5200.6499999999942</v>
      </c>
      <c r="H423" s="13">
        <f>Tabla1[[#This Row],[Beneficio]]/Tabla1[[#This Row],[Ingresos]]</f>
        <v>9.4202898550724543E-2</v>
      </c>
    </row>
    <row r="424" spans="1:8" x14ac:dyDescent="0.35">
      <c r="A424" s="2">
        <v>43385</v>
      </c>
      <c r="B424" t="s">
        <v>5</v>
      </c>
      <c r="C424" t="s">
        <v>43</v>
      </c>
      <c r="D424" t="s">
        <v>19</v>
      </c>
      <c r="E424" s="7">
        <v>70247.520000000004</v>
      </c>
      <c r="F424" s="7">
        <v>63629.999999999993</v>
      </c>
      <c r="G424" s="8">
        <f>Tabla1[[#This Row],[Ingresos]]-Tabla1[[#This Row],[Gastos]]</f>
        <v>6617.5200000000114</v>
      </c>
      <c r="H424" s="13">
        <f>Tabla1[[#This Row],[Beneficio]]/Tabla1[[#This Row],[Ingresos]]</f>
        <v>9.4202898550724792E-2</v>
      </c>
    </row>
    <row r="425" spans="1:8" x14ac:dyDescent="0.35">
      <c r="A425" s="2">
        <v>43386</v>
      </c>
      <c r="B425" t="s">
        <v>5</v>
      </c>
      <c r="C425" t="s">
        <v>13</v>
      </c>
      <c r="D425" t="s">
        <v>17</v>
      </c>
      <c r="E425" s="7">
        <v>144710.7984</v>
      </c>
      <c r="F425" s="7">
        <v>111978.594</v>
      </c>
      <c r="G425" s="8">
        <f>Tabla1[[#This Row],[Ingresos]]-Tabla1[[#This Row],[Gastos]]</f>
        <v>32732.204400000002</v>
      </c>
      <c r="H425" s="13">
        <f>Tabla1[[#This Row],[Beneficio]]/Tabla1[[#This Row],[Ingresos]]</f>
        <v>0.22619047619047622</v>
      </c>
    </row>
    <row r="426" spans="1:8" x14ac:dyDescent="0.35">
      <c r="A426" s="2">
        <v>43386</v>
      </c>
      <c r="B426" t="s">
        <v>8</v>
      </c>
      <c r="C426" t="s">
        <v>11</v>
      </c>
      <c r="D426" t="s">
        <v>19</v>
      </c>
      <c r="E426" s="7">
        <v>271350.77760000003</v>
      </c>
      <c r="F426" s="7">
        <v>262936.8</v>
      </c>
      <c r="G426" s="8">
        <f>Tabla1[[#This Row],[Ingresos]]-Tabla1[[#This Row],[Gastos]]</f>
        <v>8413.977600000042</v>
      </c>
      <c r="H426" s="13">
        <f>Tabla1[[#This Row],[Beneficio]]/Tabla1[[#This Row],[Ingresos]]</f>
        <v>3.1007751937984648E-2</v>
      </c>
    </row>
    <row r="427" spans="1:8" x14ac:dyDescent="0.35">
      <c r="A427" s="2">
        <v>43386</v>
      </c>
      <c r="B427" t="s">
        <v>9</v>
      </c>
      <c r="C427" t="s">
        <v>11</v>
      </c>
      <c r="D427" t="s">
        <v>18</v>
      </c>
      <c r="E427" s="7">
        <v>3908.1419999999994</v>
      </c>
      <c r="F427" s="7">
        <v>2990.9249999999997</v>
      </c>
      <c r="G427" s="8">
        <f>Tabla1[[#This Row],[Ingresos]]-Tabla1[[#This Row],[Gastos]]</f>
        <v>917.21699999999964</v>
      </c>
      <c r="H427" s="13">
        <f>Tabla1[[#This Row],[Beneficio]]/Tabla1[[#This Row],[Ingresos]]</f>
        <v>0.23469387755102036</v>
      </c>
    </row>
    <row r="428" spans="1:8" x14ac:dyDescent="0.35">
      <c r="A428" s="2">
        <v>43387</v>
      </c>
      <c r="B428" t="s">
        <v>9</v>
      </c>
      <c r="C428" t="s">
        <v>10</v>
      </c>
      <c r="D428" t="s">
        <v>17</v>
      </c>
      <c r="E428" s="7">
        <v>11577.383999999998</v>
      </c>
      <c r="F428" s="7">
        <v>6224.4</v>
      </c>
      <c r="G428" s="8">
        <f>Tabla1[[#This Row],[Ingresos]]-Tabla1[[#This Row],[Gastos]]</f>
        <v>5352.9839999999986</v>
      </c>
      <c r="H428" s="13">
        <f>Tabla1[[#This Row],[Beneficio]]/Tabla1[[#This Row],[Ingresos]]</f>
        <v>0.46236559139784938</v>
      </c>
    </row>
    <row r="429" spans="1:8" x14ac:dyDescent="0.35">
      <c r="A429" s="2">
        <v>43388</v>
      </c>
      <c r="B429" t="s">
        <v>7</v>
      </c>
      <c r="C429" t="s">
        <v>12</v>
      </c>
      <c r="D429" t="s">
        <v>15</v>
      </c>
      <c r="E429" s="7">
        <v>18793.736640000003</v>
      </c>
      <c r="F429" s="7">
        <v>13051.206</v>
      </c>
      <c r="G429" s="8">
        <f>Tabla1[[#This Row],[Ingresos]]-Tabla1[[#This Row],[Gastos]]</f>
        <v>5742.5306400000027</v>
      </c>
      <c r="H429" s="13">
        <f>Tabla1[[#This Row],[Beneficio]]/Tabla1[[#This Row],[Ingresos]]</f>
        <v>0.30555555555555564</v>
      </c>
    </row>
    <row r="430" spans="1:8" x14ac:dyDescent="0.35">
      <c r="A430" s="2">
        <v>43388</v>
      </c>
      <c r="B430" t="s">
        <v>5</v>
      </c>
      <c r="C430" t="s">
        <v>12</v>
      </c>
      <c r="D430" t="s">
        <v>17</v>
      </c>
      <c r="E430" s="7">
        <v>5680.364004</v>
      </c>
      <c r="F430" s="7">
        <v>4410.2205000000004</v>
      </c>
      <c r="G430" s="8">
        <f>Tabla1[[#This Row],[Ingresos]]-Tabla1[[#This Row],[Gastos]]</f>
        <v>1270.1435039999997</v>
      </c>
      <c r="H430" s="13">
        <f>Tabla1[[#This Row],[Beneficio]]/Tabla1[[#This Row],[Ingresos]]</f>
        <v>0.22360248447204964</v>
      </c>
    </row>
    <row r="431" spans="1:8" x14ac:dyDescent="0.35">
      <c r="A431" s="2">
        <v>43389</v>
      </c>
      <c r="B431" t="s">
        <v>6</v>
      </c>
      <c r="C431" t="s">
        <v>10</v>
      </c>
      <c r="D431" t="s">
        <v>16</v>
      </c>
      <c r="E431" s="7">
        <v>101336.71153846152</v>
      </c>
      <c r="F431" s="7">
        <v>86032.799999999988</v>
      </c>
      <c r="G431" s="8">
        <f>Tabla1[[#This Row],[Ingresos]]-Tabla1[[#This Row],[Gastos]]</f>
        <v>15303.911538461529</v>
      </c>
      <c r="H431" s="13">
        <f>Tabla1[[#This Row],[Beneficio]]/Tabla1[[#This Row],[Ingresos]]</f>
        <v>0.15102040816326523</v>
      </c>
    </row>
    <row r="432" spans="1:8" x14ac:dyDescent="0.35">
      <c r="A432" s="2">
        <v>43389</v>
      </c>
      <c r="B432" t="s">
        <v>6</v>
      </c>
      <c r="C432" t="s">
        <v>12</v>
      </c>
      <c r="D432" t="s">
        <v>19</v>
      </c>
      <c r="E432" s="7">
        <v>206100.72</v>
      </c>
      <c r="F432" s="7">
        <v>199710</v>
      </c>
      <c r="G432" s="8">
        <f>Tabla1[[#This Row],[Ingresos]]-Tabla1[[#This Row],[Gastos]]</f>
        <v>6390.7200000000012</v>
      </c>
      <c r="H432" s="13">
        <f>Tabla1[[#This Row],[Beneficio]]/Tabla1[[#This Row],[Ingresos]]</f>
        <v>3.1007751937984503E-2</v>
      </c>
    </row>
    <row r="433" spans="1:8" x14ac:dyDescent="0.35">
      <c r="A433" s="2">
        <v>43390</v>
      </c>
      <c r="B433" t="s">
        <v>5</v>
      </c>
      <c r="C433" t="s">
        <v>43</v>
      </c>
      <c r="D433" t="s">
        <v>16</v>
      </c>
      <c r="E433" s="7">
        <v>90953.001562499994</v>
      </c>
      <c r="F433" s="7">
        <v>76437.27</v>
      </c>
      <c r="G433" s="8">
        <f>Tabla1[[#This Row],[Ingresos]]-Tabla1[[#This Row],[Gastos]]</f>
        <v>14515.73156249999</v>
      </c>
      <c r="H433" s="13">
        <f>Tabla1[[#This Row],[Beneficio]]/Tabla1[[#This Row],[Ingresos]]</f>
        <v>0.15959595959595949</v>
      </c>
    </row>
    <row r="434" spans="1:8" x14ac:dyDescent="0.35">
      <c r="A434" s="2">
        <v>43391</v>
      </c>
      <c r="B434" t="s">
        <v>5</v>
      </c>
      <c r="C434" t="s">
        <v>10</v>
      </c>
      <c r="D434" t="s">
        <v>18</v>
      </c>
      <c r="E434" s="7">
        <v>9472.8311999999987</v>
      </c>
      <c r="F434" s="7">
        <v>8261.19</v>
      </c>
      <c r="G434" s="8">
        <f>Tabla1[[#This Row],[Ingresos]]-Tabla1[[#This Row],[Gastos]]</f>
        <v>1211.6411999999982</v>
      </c>
      <c r="H434" s="13">
        <f>Tabla1[[#This Row],[Beneficio]]/Tabla1[[#This Row],[Ingresos]]</f>
        <v>0.12790697674418589</v>
      </c>
    </row>
    <row r="435" spans="1:8" x14ac:dyDescent="0.35">
      <c r="A435" s="2">
        <v>43392</v>
      </c>
      <c r="B435" t="s">
        <v>5</v>
      </c>
      <c r="C435" t="s">
        <v>11</v>
      </c>
      <c r="D435" t="s">
        <v>17</v>
      </c>
      <c r="E435" s="7">
        <v>95661.72</v>
      </c>
      <c r="F435" s="7">
        <v>80753.399999999994</v>
      </c>
      <c r="G435" s="8">
        <f>Tabla1[[#This Row],[Ingresos]]-Tabla1[[#This Row],[Gastos]]</f>
        <v>14908.320000000007</v>
      </c>
      <c r="H435" s="13">
        <f>Tabla1[[#This Row],[Beneficio]]/Tabla1[[#This Row],[Ingresos]]</f>
        <v>0.15584415584415592</v>
      </c>
    </row>
    <row r="436" spans="1:8" x14ac:dyDescent="0.35">
      <c r="A436" s="2">
        <v>43392</v>
      </c>
      <c r="B436" t="s">
        <v>7</v>
      </c>
      <c r="C436" t="s">
        <v>13</v>
      </c>
      <c r="D436" t="s">
        <v>17</v>
      </c>
      <c r="E436" s="7">
        <v>9993.2275800000007</v>
      </c>
      <c r="F436" s="7">
        <v>5372.7030000000004</v>
      </c>
      <c r="G436" s="8">
        <f>Tabla1[[#This Row],[Ingresos]]-Tabla1[[#This Row],[Gastos]]</f>
        <v>4620.5245800000002</v>
      </c>
      <c r="H436" s="13">
        <f>Tabla1[[#This Row],[Beneficio]]/Tabla1[[#This Row],[Ingresos]]</f>
        <v>0.46236559139784944</v>
      </c>
    </row>
    <row r="437" spans="1:8" x14ac:dyDescent="0.35">
      <c r="A437" s="2">
        <v>43394</v>
      </c>
      <c r="B437" t="s">
        <v>7</v>
      </c>
      <c r="C437" t="s">
        <v>13</v>
      </c>
      <c r="D437" t="s">
        <v>17</v>
      </c>
      <c r="E437" s="7">
        <v>2397.3156899999999</v>
      </c>
      <c r="F437" s="7">
        <v>1802.4929999999997</v>
      </c>
      <c r="G437" s="8">
        <f>Tabla1[[#This Row],[Ingresos]]-Tabla1[[#This Row],[Gastos]]</f>
        <v>594.82269000000019</v>
      </c>
      <c r="H437" s="13">
        <f>Tabla1[[#This Row],[Beneficio]]/Tabla1[[#This Row],[Ingresos]]</f>
        <v>0.2481203007518798</v>
      </c>
    </row>
    <row r="438" spans="1:8" x14ac:dyDescent="0.35">
      <c r="A438" s="2">
        <v>43394</v>
      </c>
      <c r="B438" t="s">
        <v>7</v>
      </c>
      <c r="C438" t="s">
        <v>11</v>
      </c>
      <c r="D438" t="s">
        <v>17</v>
      </c>
      <c r="E438" s="7">
        <v>10354.485959999998</v>
      </c>
      <c r="F438" s="7">
        <v>5689.2780000000002</v>
      </c>
      <c r="G438" s="8">
        <f>Tabla1[[#This Row],[Ingresos]]-Tabla1[[#This Row],[Gastos]]</f>
        <v>4665.2079599999979</v>
      </c>
      <c r="H438" s="13">
        <f>Tabla1[[#This Row],[Beneficio]]/Tabla1[[#This Row],[Ingresos]]</f>
        <v>0.45054945054945045</v>
      </c>
    </row>
    <row r="439" spans="1:8" x14ac:dyDescent="0.35">
      <c r="A439" s="2">
        <v>43394</v>
      </c>
      <c r="B439" t="s">
        <v>8</v>
      </c>
      <c r="C439" t="s">
        <v>11</v>
      </c>
      <c r="D439" t="s">
        <v>18</v>
      </c>
      <c r="E439" s="7">
        <v>9518.0399999999991</v>
      </c>
      <c r="F439" s="7">
        <v>7138.53</v>
      </c>
      <c r="G439" s="8">
        <f>Tabla1[[#This Row],[Ingresos]]-Tabla1[[#This Row],[Gastos]]</f>
        <v>2379.5099999999993</v>
      </c>
      <c r="H439" s="13">
        <f>Tabla1[[#This Row],[Beneficio]]/Tabla1[[#This Row],[Ingresos]]</f>
        <v>0.24999999999999994</v>
      </c>
    </row>
    <row r="440" spans="1:8" x14ac:dyDescent="0.35">
      <c r="A440" s="2">
        <v>43395</v>
      </c>
      <c r="B440" t="s">
        <v>9</v>
      </c>
      <c r="C440" t="s">
        <v>43</v>
      </c>
      <c r="D440" t="s">
        <v>15</v>
      </c>
      <c r="E440" s="7">
        <v>53912.131874999999</v>
      </c>
      <c r="F440" s="7">
        <v>42284.024999999994</v>
      </c>
      <c r="G440" s="8">
        <f>Tabla1[[#This Row],[Ingresos]]-Tabla1[[#This Row],[Gastos]]</f>
        <v>11628.106875000005</v>
      </c>
      <c r="H440" s="13">
        <f>Tabla1[[#This Row],[Beneficio]]/Tabla1[[#This Row],[Ingresos]]</f>
        <v>0.21568627450980402</v>
      </c>
    </row>
    <row r="441" spans="1:8" x14ac:dyDescent="0.35">
      <c r="A441" s="2">
        <v>43395</v>
      </c>
      <c r="B441" t="s">
        <v>5</v>
      </c>
      <c r="C441" t="s">
        <v>43</v>
      </c>
      <c r="D441" t="s">
        <v>16</v>
      </c>
      <c r="E441" s="7">
        <v>68289.302812499998</v>
      </c>
      <c r="F441" s="7">
        <v>57390.606</v>
      </c>
      <c r="G441" s="8">
        <f>Tabla1[[#This Row],[Ingresos]]-Tabla1[[#This Row],[Gastos]]</f>
        <v>10898.696812499998</v>
      </c>
      <c r="H441" s="13">
        <f>Tabla1[[#This Row],[Beneficio]]/Tabla1[[#This Row],[Ingresos]]</f>
        <v>0.15959595959595957</v>
      </c>
    </row>
    <row r="442" spans="1:8" x14ac:dyDescent="0.35">
      <c r="A442" s="2">
        <v>43395</v>
      </c>
      <c r="B442" t="s">
        <v>9</v>
      </c>
      <c r="C442" t="s">
        <v>12</v>
      </c>
      <c r="D442" t="s">
        <v>16</v>
      </c>
      <c r="E442" s="7">
        <v>286236.00216346153</v>
      </c>
      <c r="F442" s="7">
        <v>267582.42</v>
      </c>
      <c r="G442" s="8">
        <f>Tabla1[[#This Row],[Ingresos]]-Tabla1[[#This Row],[Gastos]]</f>
        <v>18653.582163461542</v>
      </c>
      <c r="H442" s="13">
        <f>Tabla1[[#This Row],[Beneficio]]/Tabla1[[#This Row],[Ingresos]]</f>
        <v>6.5168539325842711E-2</v>
      </c>
    </row>
    <row r="443" spans="1:8" x14ac:dyDescent="0.35">
      <c r="A443" s="2">
        <v>43396</v>
      </c>
      <c r="B443" t="s">
        <v>9</v>
      </c>
      <c r="C443" t="s">
        <v>12</v>
      </c>
      <c r="D443" t="s">
        <v>17</v>
      </c>
      <c r="E443" s="7">
        <v>212316.09839999999</v>
      </c>
      <c r="F443" s="7">
        <v>169591.96799999999</v>
      </c>
      <c r="G443" s="8">
        <f>Tabla1[[#This Row],[Ingresos]]-Tabla1[[#This Row],[Gastos]]</f>
        <v>42724.130399999995</v>
      </c>
      <c r="H443" s="13">
        <f>Tabla1[[#This Row],[Beneficio]]/Tabla1[[#This Row],[Ingresos]]</f>
        <v>0.20122887864823347</v>
      </c>
    </row>
    <row r="444" spans="1:8" x14ac:dyDescent="0.35">
      <c r="A444" s="2">
        <v>43396</v>
      </c>
      <c r="B444" t="s">
        <v>6</v>
      </c>
      <c r="C444" t="s">
        <v>12</v>
      </c>
      <c r="D444" t="s">
        <v>19</v>
      </c>
      <c r="E444" s="7">
        <v>32381.086500000001</v>
      </c>
      <c r="F444" s="7">
        <v>27534.9375</v>
      </c>
      <c r="G444" s="8">
        <f>Tabla1[[#This Row],[Ingresos]]-Tabla1[[#This Row],[Gastos]]</f>
        <v>4846.1490000000013</v>
      </c>
      <c r="H444" s="13">
        <f>Tabla1[[#This Row],[Beneficio]]/Tabla1[[#This Row],[Ingresos]]</f>
        <v>0.14965986394557826</v>
      </c>
    </row>
    <row r="445" spans="1:8" x14ac:dyDescent="0.35">
      <c r="A445" s="2">
        <v>43397</v>
      </c>
      <c r="B445" t="s">
        <v>8</v>
      </c>
      <c r="C445" t="s">
        <v>13</v>
      </c>
      <c r="D445" t="s">
        <v>16</v>
      </c>
      <c r="E445" s="7">
        <v>88536.050480769234</v>
      </c>
      <c r="F445" s="7">
        <v>75940.2</v>
      </c>
      <c r="G445" s="8">
        <f>Tabla1[[#This Row],[Ingresos]]-Tabla1[[#This Row],[Gastos]]</f>
        <v>12595.850480769237</v>
      </c>
      <c r="H445" s="13">
        <f>Tabla1[[#This Row],[Beneficio]]/Tabla1[[#This Row],[Ingresos]]</f>
        <v>0.14226804123711348</v>
      </c>
    </row>
    <row r="446" spans="1:8" x14ac:dyDescent="0.35">
      <c r="A446" s="2">
        <v>43397</v>
      </c>
      <c r="B446" t="s">
        <v>7</v>
      </c>
      <c r="C446" t="s">
        <v>43</v>
      </c>
      <c r="D446" t="s">
        <v>16</v>
      </c>
      <c r="E446" s="7">
        <v>77813.771538461529</v>
      </c>
      <c r="F446" s="7">
        <v>66062.304000000004</v>
      </c>
      <c r="G446" s="8">
        <f>Tabla1[[#This Row],[Ingresos]]-Tabla1[[#This Row],[Gastos]]</f>
        <v>11751.467538461526</v>
      </c>
      <c r="H446" s="13">
        <f>Tabla1[[#This Row],[Beneficio]]/Tabla1[[#This Row],[Ingresos]]</f>
        <v>0.15102040816326515</v>
      </c>
    </row>
    <row r="447" spans="1:8" x14ac:dyDescent="0.35">
      <c r="A447" s="2">
        <v>43397</v>
      </c>
      <c r="B447" t="s">
        <v>8</v>
      </c>
      <c r="C447" t="s">
        <v>13</v>
      </c>
      <c r="D447" t="s">
        <v>17</v>
      </c>
      <c r="E447" s="7">
        <v>16456.545000000002</v>
      </c>
      <c r="F447" s="7">
        <v>9245.25</v>
      </c>
      <c r="G447" s="8">
        <f>Tabla1[[#This Row],[Ingresos]]-Tabla1[[#This Row],[Gastos]]</f>
        <v>7211.2950000000019</v>
      </c>
      <c r="H447" s="13">
        <f>Tabla1[[#This Row],[Beneficio]]/Tabla1[[#This Row],[Ingresos]]</f>
        <v>0.43820224719101131</v>
      </c>
    </row>
    <row r="448" spans="1:8" x14ac:dyDescent="0.35">
      <c r="A448" s="2">
        <v>43397</v>
      </c>
      <c r="B448" t="s">
        <v>9</v>
      </c>
      <c r="C448" t="s">
        <v>13</v>
      </c>
      <c r="D448" t="s">
        <v>19</v>
      </c>
      <c r="E448" s="7">
        <v>594868.95720000006</v>
      </c>
      <c r="F448" s="7">
        <v>533036.69999999995</v>
      </c>
      <c r="G448" s="8">
        <f>Tabla1[[#This Row],[Ingresos]]-Tabla1[[#This Row],[Gastos]]</f>
        <v>61832.257200000109</v>
      </c>
      <c r="H448" s="13">
        <f>Tabla1[[#This Row],[Beneficio]]/Tabla1[[#This Row],[Ingresos]]</f>
        <v>0.10394265232974928</v>
      </c>
    </row>
    <row r="449" spans="1:8" x14ac:dyDescent="0.35">
      <c r="A449" s="2">
        <v>43397</v>
      </c>
      <c r="B449" t="s">
        <v>6</v>
      </c>
      <c r="C449" t="s">
        <v>11</v>
      </c>
      <c r="D449" t="s">
        <v>18</v>
      </c>
      <c r="E449" s="7">
        <v>8566.4779200000012</v>
      </c>
      <c r="F449" s="7">
        <v>7060.2839999999987</v>
      </c>
      <c r="G449" s="8">
        <f>Tabla1[[#This Row],[Ingresos]]-Tabla1[[#This Row],[Gastos]]</f>
        <v>1506.1939200000024</v>
      </c>
      <c r="H449" s="13">
        <f>Tabla1[[#This Row],[Beneficio]]/Tabla1[[#This Row],[Ingresos]]</f>
        <v>0.17582417582417609</v>
      </c>
    </row>
    <row r="450" spans="1:8" x14ac:dyDescent="0.35">
      <c r="A450" s="2">
        <v>43398</v>
      </c>
      <c r="B450" t="s">
        <v>9</v>
      </c>
      <c r="C450" t="s">
        <v>10</v>
      </c>
      <c r="D450" t="s">
        <v>16</v>
      </c>
      <c r="E450" s="7">
        <v>53308.013365384621</v>
      </c>
      <c r="F450" s="7">
        <v>49834.008000000002</v>
      </c>
      <c r="G450" s="8">
        <f>Tabla1[[#This Row],[Ingresos]]-Tabla1[[#This Row],[Gastos]]</f>
        <v>3474.0053653846189</v>
      </c>
      <c r="H450" s="13">
        <f>Tabla1[[#This Row],[Beneficio]]/Tabla1[[#This Row],[Ingresos]]</f>
        <v>6.5168539325842753E-2</v>
      </c>
    </row>
    <row r="451" spans="1:8" x14ac:dyDescent="0.35">
      <c r="A451" s="2">
        <v>43398</v>
      </c>
      <c r="B451" t="s">
        <v>8</v>
      </c>
      <c r="C451" t="s">
        <v>43</v>
      </c>
      <c r="D451" t="s">
        <v>18</v>
      </c>
      <c r="E451" s="7">
        <v>7223.2776000000003</v>
      </c>
      <c r="F451" s="7">
        <v>6299.37</v>
      </c>
      <c r="G451" s="8">
        <f>Tabla1[[#This Row],[Ingresos]]-Tabla1[[#This Row],[Gastos]]</f>
        <v>923.90760000000046</v>
      </c>
      <c r="H451" s="13">
        <f>Tabla1[[#This Row],[Beneficio]]/Tabla1[[#This Row],[Ingresos]]</f>
        <v>0.12790697674418611</v>
      </c>
    </row>
    <row r="452" spans="1:8" x14ac:dyDescent="0.35">
      <c r="A452" s="2">
        <v>43401</v>
      </c>
      <c r="B452" t="s">
        <v>5</v>
      </c>
      <c r="C452" t="s">
        <v>12</v>
      </c>
      <c r="D452" t="s">
        <v>16</v>
      </c>
      <c r="E452" s="7">
        <v>128165.62499999999</v>
      </c>
      <c r="F452" s="7">
        <v>106633.79999999999</v>
      </c>
      <c r="G452" s="8">
        <f>Tabla1[[#This Row],[Ingresos]]-Tabla1[[#This Row],[Gastos]]</f>
        <v>21531.824999999997</v>
      </c>
      <c r="H452" s="13">
        <f>Tabla1[[#This Row],[Beneficio]]/Tabla1[[#This Row],[Ingresos]]</f>
        <v>0.16799999999999998</v>
      </c>
    </row>
    <row r="453" spans="1:8" x14ac:dyDescent="0.35">
      <c r="A453" s="2">
        <v>43401</v>
      </c>
      <c r="B453" t="s">
        <v>7</v>
      </c>
      <c r="C453" t="s">
        <v>12</v>
      </c>
      <c r="D453" t="s">
        <v>16</v>
      </c>
      <c r="E453" s="7">
        <v>95504.0625</v>
      </c>
      <c r="F453" s="7">
        <v>81081</v>
      </c>
      <c r="G453" s="8">
        <f>Tabla1[[#This Row],[Ingresos]]-Tabla1[[#This Row],[Gastos]]</f>
        <v>14423.0625</v>
      </c>
      <c r="H453" s="13">
        <f>Tabla1[[#This Row],[Beneficio]]/Tabla1[[#This Row],[Ingresos]]</f>
        <v>0.15102040816326531</v>
      </c>
    </row>
    <row r="454" spans="1:8" x14ac:dyDescent="0.35">
      <c r="A454" s="2">
        <v>43401</v>
      </c>
      <c r="B454" t="s">
        <v>8</v>
      </c>
      <c r="C454" t="s">
        <v>12</v>
      </c>
      <c r="D454" t="s">
        <v>18</v>
      </c>
      <c r="E454" s="7">
        <v>22518.24624</v>
      </c>
      <c r="F454" s="7">
        <v>18159.875999999997</v>
      </c>
      <c r="G454" s="8">
        <f>Tabla1[[#This Row],[Ingresos]]-Tabla1[[#This Row],[Gastos]]</f>
        <v>4358.3702400000038</v>
      </c>
      <c r="H454" s="13">
        <f>Tabla1[[#This Row],[Beneficio]]/Tabla1[[#This Row],[Ingresos]]</f>
        <v>0.19354838709677435</v>
      </c>
    </row>
    <row r="455" spans="1:8" x14ac:dyDescent="0.35">
      <c r="A455" s="2">
        <v>43401</v>
      </c>
      <c r="B455" t="s">
        <v>5</v>
      </c>
      <c r="C455" t="s">
        <v>13</v>
      </c>
      <c r="D455" t="s">
        <v>18</v>
      </c>
      <c r="E455" s="7">
        <v>9825.5429999999997</v>
      </c>
      <c r="F455" s="7">
        <v>8568.7875000000004</v>
      </c>
      <c r="G455" s="8">
        <f>Tabla1[[#This Row],[Ingresos]]-Tabla1[[#This Row],[Gastos]]</f>
        <v>1256.7554999999993</v>
      </c>
      <c r="H455" s="13">
        <f>Tabla1[[#This Row],[Beneficio]]/Tabla1[[#This Row],[Ingresos]]</f>
        <v>0.12790697674418597</v>
      </c>
    </row>
    <row r="456" spans="1:8" x14ac:dyDescent="0.35">
      <c r="A456" s="2">
        <v>43402</v>
      </c>
      <c r="B456" t="s">
        <v>6</v>
      </c>
      <c r="C456" t="s">
        <v>13</v>
      </c>
      <c r="D456" t="s">
        <v>15</v>
      </c>
      <c r="E456" s="7">
        <v>4170.7574999999997</v>
      </c>
      <c r="F456" s="7">
        <v>3055.5</v>
      </c>
      <c r="G456" s="8">
        <f>Tabla1[[#This Row],[Ingresos]]-Tabla1[[#This Row],[Gastos]]</f>
        <v>1115.2574999999997</v>
      </c>
      <c r="H456" s="13">
        <f>Tabla1[[#This Row],[Beneficio]]/Tabla1[[#This Row],[Ingresos]]</f>
        <v>0.26739926739926734</v>
      </c>
    </row>
    <row r="457" spans="1:8" x14ac:dyDescent="0.35">
      <c r="A457" s="2">
        <v>43403</v>
      </c>
      <c r="B457" t="s">
        <v>6</v>
      </c>
      <c r="C457" t="s">
        <v>10</v>
      </c>
      <c r="D457" t="s">
        <v>17</v>
      </c>
      <c r="E457" s="7">
        <v>530.96399999999994</v>
      </c>
      <c r="F457" s="7">
        <v>441</v>
      </c>
      <c r="G457" s="8">
        <f>Tabla1[[#This Row],[Ingresos]]-Tabla1[[#This Row],[Gastos]]</f>
        <v>89.963999999999942</v>
      </c>
      <c r="H457" s="13">
        <f>Tabla1[[#This Row],[Beneficio]]/Tabla1[[#This Row],[Ingresos]]</f>
        <v>0.16943521594684377</v>
      </c>
    </row>
    <row r="458" spans="1:8" x14ac:dyDescent="0.35">
      <c r="A458" s="2">
        <v>43404</v>
      </c>
      <c r="B458" t="s">
        <v>7</v>
      </c>
      <c r="C458" t="s">
        <v>10</v>
      </c>
      <c r="D458" t="s">
        <v>16</v>
      </c>
      <c r="E458" s="7">
        <v>99772.00961538461</v>
      </c>
      <c r="F458" s="7">
        <v>90228.599999999991</v>
      </c>
      <c r="G458" s="8">
        <f>Tabla1[[#This Row],[Ingresos]]-Tabla1[[#This Row],[Gastos]]</f>
        <v>9543.4096153846185</v>
      </c>
      <c r="H458" s="13">
        <f>Tabla1[[#This Row],[Beneficio]]/Tabla1[[#This Row],[Ingresos]]</f>
        <v>9.5652173913043509E-2</v>
      </c>
    </row>
    <row r="459" spans="1:8" x14ac:dyDescent="0.35">
      <c r="A459" s="2">
        <v>43404</v>
      </c>
      <c r="B459" t="s">
        <v>6</v>
      </c>
      <c r="C459" t="s">
        <v>43</v>
      </c>
      <c r="D459" t="s">
        <v>16</v>
      </c>
      <c r="E459" s="7">
        <v>19185.317307692305</v>
      </c>
      <c r="F459" s="7">
        <v>18779.04</v>
      </c>
      <c r="G459" s="8">
        <f>Tabla1[[#This Row],[Ingresos]]-Tabla1[[#This Row],[Gastos]]</f>
        <v>406.27730769230402</v>
      </c>
      <c r="H459" s="13">
        <f>Tabla1[[#This Row],[Beneficio]]/Tabla1[[#This Row],[Ingresos]]</f>
        <v>2.1176470588235106E-2</v>
      </c>
    </row>
    <row r="460" spans="1:8" x14ac:dyDescent="0.35">
      <c r="A460" s="2">
        <v>43404</v>
      </c>
      <c r="B460" t="s">
        <v>8</v>
      </c>
      <c r="C460" t="s">
        <v>10</v>
      </c>
      <c r="D460" t="s">
        <v>19</v>
      </c>
      <c r="E460" s="7">
        <v>1464942.0240000002</v>
      </c>
      <c r="F460" s="7">
        <v>1341522</v>
      </c>
      <c r="G460" s="8">
        <f>Tabla1[[#This Row],[Ingresos]]-Tabla1[[#This Row],[Gastos]]</f>
        <v>123420.02400000021</v>
      </c>
      <c r="H460" s="13">
        <f>Tabla1[[#This Row],[Beneficio]]/Tabla1[[#This Row],[Ingresos]]</f>
        <v>8.424908424908438E-2</v>
      </c>
    </row>
    <row r="461" spans="1:8" x14ac:dyDescent="0.35">
      <c r="A461" s="2">
        <v>43405</v>
      </c>
      <c r="B461" t="s">
        <v>6</v>
      </c>
      <c r="C461" t="s">
        <v>10</v>
      </c>
      <c r="D461" t="s">
        <v>18</v>
      </c>
      <c r="E461" s="7">
        <v>1387.26</v>
      </c>
      <c r="F461" s="7">
        <v>1040.4449999999999</v>
      </c>
      <c r="G461" s="8">
        <f>Tabla1[[#This Row],[Ingresos]]-Tabla1[[#This Row],[Gastos]]</f>
        <v>346.81500000000005</v>
      </c>
      <c r="H461" s="13">
        <f>Tabla1[[#This Row],[Beneficio]]/Tabla1[[#This Row],[Ingresos]]</f>
        <v>0.25000000000000006</v>
      </c>
    </row>
    <row r="462" spans="1:8" x14ac:dyDescent="0.35">
      <c r="A462" s="2">
        <v>43406</v>
      </c>
      <c r="B462" t="s">
        <v>6</v>
      </c>
      <c r="C462" t="s">
        <v>12</v>
      </c>
      <c r="D462" t="s">
        <v>19</v>
      </c>
      <c r="E462" s="7">
        <v>557727.1875</v>
      </c>
      <c r="F462" s="7">
        <v>489234.37499999994</v>
      </c>
      <c r="G462" s="8">
        <f>Tabla1[[#This Row],[Ingresos]]-Tabla1[[#This Row],[Gastos]]</f>
        <v>68492.812500000058</v>
      </c>
      <c r="H462" s="13">
        <f>Tabla1[[#This Row],[Beneficio]]/Tabla1[[#This Row],[Ingresos]]</f>
        <v>0.12280701754385975</v>
      </c>
    </row>
    <row r="463" spans="1:8" x14ac:dyDescent="0.35">
      <c r="A463" s="2">
        <v>43409</v>
      </c>
      <c r="B463" t="s">
        <v>6</v>
      </c>
      <c r="C463" t="s">
        <v>11</v>
      </c>
      <c r="D463" t="s">
        <v>17</v>
      </c>
      <c r="E463" s="7">
        <v>2873.9969999999998</v>
      </c>
      <c r="F463" s="7">
        <v>2160.8999999999996</v>
      </c>
      <c r="G463" s="8">
        <f>Tabla1[[#This Row],[Ingresos]]-Tabla1[[#This Row],[Gastos]]</f>
        <v>713.09700000000021</v>
      </c>
      <c r="H463" s="13">
        <f>Tabla1[[#This Row],[Beneficio]]/Tabla1[[#This Row],[Ingresos]]</f>
        <v>0.2481203007518798</v>
      </c>
    </row>
    <row r="464" spans="1:8" x14ac:dyDescent="0.35">
      <c r="A464" s="2">
        <v>43409</v>
      </c>
      <c r="B464" t="s">
        <v>6</v>
      </c>
      <c r="C464" t="s">
        <v>43</v>
      </c>
      <c r="D464" t="s">
        <v>17</v>
      </c>
      <c r="E464" s="7">
        <v>3800.9789999999998</v>
      </c>
      <c r="F464" s="7">
        <v>2088.4499999999998</v>
      </c>
      <c r="G464" s="8">
        <f>Tabla1[[#This Row],[Ingresos]]-Tabla1[[#This Row],[Gastos]]</f>
        <v>1712.529</v>
      </c>
      <c r="H464" s="13">
        <f>Tabla1[[#This Row],[Beneficio]]/Tabla1[[#This Row],[Ingresos]]</f>
        <v>0.45054945054945056</v>
      </c>
    </row>
    <row r="465" spans="1:8" x14ac:dyDescent="0.35">
      <c r="A465" s="2">
        <v>43410</v>
      </c>
      <c r="B465" t="s">
        <v>7</v>
      </c>
      <c r="C465" t="s">
        <v>13</v>
      </c>
      <c r="D465" t="s">
        <v>17</v>
      </c>
      <c r="E465" s="7">
        <v>6474.1551840000002</v>
      </c>
      <c r="F465" s="7">
        <v>5026.518</v>
      </c>
      <c r="G465" s="8">
        <f>Tabla1[[#This Row],[Ingresos]]-Tabla1[[#This Row],[Gastos]]</f>
        <v>1447.6371840000002</v>
      </c>
      <c r="H465" s="13">
        <f>Tabla1[[#This Row],[Beneficio]]/Tabla1[[#This Row],[Ingresos]]</f>
        <v>0.2236024844720497</v>
      </c>
    </row>
    <row r="466" spans="1:8" x14ac:dyDescent="0.35">
      <c r="A466" s="2">
        <v>43411</v>
      </c>
      <c r="B466" t="s">
        <v>6</v>
      </c>
      <c r="C466" t="s">
        <v>43</v>
      </c>
      <c r="D466" t="s">
        <v>17</v>
      </c>
      <c r="E466" s="7">
        <v>503538.21</v>
      </c>
      <c r="F466" s="7">
        <v>374056.95600000001</v>
      </c>
      <c r="G466" s="8">
        <f>Tabla1[[#This Row],[Ingresos]]-Tabla1[[#This Row],[Gastos]]</f>
        <v>129481.25400000002</v>
      </c>
      <c r="H466" s="13">
        <f>Tabla1[[#This Row],[Beneficio]]/Tabla1[[#This Row],[Ingresos]]</f>
        <v>0.25714285714285717</v>
      </c>
    </row>
    <row r="467" spans="1:8" x14ac:dyDescent="0.35">
      <c r="A467" s="2">
        <v>43411</v>
      </c>
      <c r="B467" t="s">
        <v>8</v>
      </c>
      <c r="C467" t="s">
        <v>10</v>
      </c>
      <c r="D467" t="s">
        <v>18</v>
      </c>
      <c r="E467" s="7">
        <v>5407.4789999999994</v>
      </c>
      <c r="F467" s="7">
        <v>4096.5749999999998</v>
      </c>
      <c r="G467" s="8">
        <f>Tabla1[[#This Row],[Ingresos]]-Tabla1[[#This Row],[Gastos]]</f>
        <v>1310.9039999999995</v>
      </c>
      <c r="H467" s="13">
        <f>Tabla1[[#This Row],[Beneficio]]/Tabla1[[#This Row],[Ingresos]]</f>
        <v>0.24242424242424238</v>
      </c>
    </row>
    <row r="468" spans="1:8" x14ac:dyDescent="0.35">
      <c r="A468" s="2">
        <v>43412</v>
      </c>
      <c r="B468" t="s">
        <v>8</v>
      </c>
      <c r="C468" t="s">
        <v>43</v>
      </c>
      <c r="D468" t="s">
        <v>16</v>
      </c>
      <c r="E468" s="7">
        <v>96593.538461538454</v>
      </c>
      <c r="F468" s="7">
        <v>91324.799999999988</v>
      </c>
      <c r="G468" s="8">
        <f>Tabla1[[#This Row],[Ingresos]]-Tabla1[[#This Row],[Gastos]]</f>
        <v>5268.7384615384653</v>
      </c>
      <c r="H468" s="13">
        <f>Tabla1[[#This Row],[Beneficio]]/Tabla1[[#This Row],[Ingresos]]</f>
        <v>5.4545454545454591E-2</v>
      </c>
    </row>
    <row r="469" spans="1:8" x14ac:dyDescent="0.35">
      <c r="A469" s="2">
        <v>43412</v>
      </c>
      <c r="B469" t="s">
        <v>6</v>
      </c>
      <c r="C469" t="s">
        <v>10</v>
      </c>
      <c r="D469" t="s">
        <v>17</v>
      </c>
      <c r="E469" s="7">
        <v>3626.2674000000002</v>
      </c>
      <c r="F469" s="7">
        <v>1970.7974999999999</v>
      </c>
      <c r="G469" s="8">
        <f>Tabla1[[#This Row],[Ingresos]]-Tabla1[[#This Row],[Gastos]]</f>
        <v>1655.4699000000003</v>
      </c>
      <c r="H469" s="13">
        <f>Tabla1[[#This Row],[Beneficio]]/Tabla1[[#This Row],[Ingresos]]</f>
        <v>0.45652173913043481</v>
      </c>
    </row>
    <row r="470" spans="1:8" x14ac:dyDescent="0.35">
      <c r="A470" s="2">
        <v>43412</v>
      </c>
      <c r="B470" t="s">
        <v>5</v>
      </c>
      <c r="C470" t="s">
        <v>11</v>
      </c>
      <c r="D470" t="s">
        <v>18</v>
      </c>
      <c r="E470" s="7">
        <v>2936.6819999999998</v>
      </c>
      <c r="F470" s="7">
        <v>2591.19</v>
      </c>
      <c r="G470" s="8">
        <f>Tabla1[[#This Row],[Ingresos]]-Tabla1[[#This Row],[Gastos]]</f>
        <v>345.49199999999973</v>
      </c>
      <c r="H470" s="13">
        <f>Tabla1[[#This Row],[Beneficio]]/Tabla1[[#This Row],[Ingresos]]</f>
        <v>0.11764705882352933</v>
      </c>
    </row>
    <row r="471" spans="1:8" x14ac:dyDescent="0.35">
      <c r="A471" s="2">
        <v>43413</v>
      </c>
      <c r="B471" t="s">
        <v>6</v>
      </c>
      <c r="C471" t="s">
        <v>11</v>
      </c>
      <c r="D471" t="s">
        <v>18</v>
      </c>
      <c r="E471" s="7">
        <v>36584.030699999996</v>
      </c>
      <c r="F471" s="7">
        <v>28882.129500000003</v>
      </c>
      <c r="G471" s="8">
        <f>Tabla1[[#This Row],[Ingresos]]-Tabla1[[#This Row],[Gastos]]</f>
        <v>7701.901199999993</v>
      </c>
      <c r="H471" s="13">
        <f>Tabla1[[#This Row],[Beneficio]]/Tabla1[[#This Row],[Ingresos]]</f>
        <v>0.21052631578947351</v>
      </c>
    </row>
    <row r="472" spans="1:8" x14ac:dyDescent="0.35">
      <c r="A472" s="2">
        <v>43414</v>
      </c>
      <c r="B472" t="s">
        <v>5</v>
      </c>
      <c r="C472" t="s">
        <v>11</v>
      </c>
      <c r="D472" t="s">
        <v>15</v>
      </c>
      <c r="E472" s="7">
        <v>37134.964755000001</v>
      </c>
      <c r="F472" s="7">
        <v>27816.452999999998</v>
      </c>
      <c r="G472" s="8">
        <f>Tabla1[[#This Row],[Ingresos]]-Tabla1[[#This Row],[Gastos]]</f>
        <v>9318.5117550000032</v>
      </c>
      <c r="H472" s="13">
        <f>Tabla1[[#This Row],[Beneficio]]/Tabla1[[#This Row],[Ingresos]]</f>
        <v>0.25093632958801504</v>
      </c>
    </row>
    <row r="473" spans="1:8" x14ac:dyDescent="0.35">
      <c r="A473" s="2">
        <v>43417</v>
      </c>
      <c r="B473" t="s">
        <v>5</v>
      </c>
      <c r="C473" t="s">
        <v>10</v>
      </c>
      <c r="D473" t="s">
        <v>15</v>
      </c>
      <c r="E473" s="7">
        <v>21600.446174999997</v>
      </c>
      <c r="F473" s="7">
        <v>14545.754999999999</v>
      </c>
      <c r="G473" s="8">
        <f>Tabla1[[#This Row],[Ingresos]]-Tabla1[[#This Row],[Gastos]]</f>
        <v>7054.6911749999981</v>
      </c>
      <c r="H473" s="13">
        <f>Tabla1[[#This Row],[Beneficio]]/Tabla1[[#This Row],[Ingresos]]</f>
        <v>0.32659932659932656</v>
      </c>
    </row>
    <row r="474" spans="1:8" x14ac:dyDescent="0.35">
      <c r="A474" s="2">
        <v>43417</v>
      </c>
      <c r="B474" t="s">
        <v>5</v>
      </c>
      <c r="C474" t="s">
        <v>12</v>
      </c>
      <c r="D474" t="s">
        <v>15</v>
      </c>
      <c r="E474" s="7">
        <v>49586.254987499997</v>
      </c>
      <c r="F474" s="7">
        <v>35545.702499999999</v>
      </c>
      <c r="G474" s="8">
        <f>Tabla1[[#This Row],[Ingresos]]-Tabla1[[#This Row],[Gastos]]</f>
        <v>14040.552487499997</v>
      </c>
      <c r="H474" s="13">
        <f>Tabla1[[#This Row],[Beneficio]]/Tabla1[[#This Row],[Ingresos]]</f>
        <v>0.28315412186379924</v>
      </c>
    </row>
    <row r="475" spans="1:8" x14ac:dyDescent="0.35">
      <c r="A475" s="2">
        <v>43419</v>
      </c>
      <c r="B475" t="s">
        <v>8</v>
      </c>
      <c r="C475" t="s">
        <v>13</v>
      </c>
      <c r="D475" t="s">
        <v>17</v>
      </c>
      <c r="E475" s="7">
        <v>24507.853019999999</v>
      </c>
      <c r="F475" s="7">
        <v>14084.973000000002</v>
      </c>
      <c r="G475" s="8">
        <f>Tabla1[[#This Row],[Ingresos]]-Tabla1[[#This Row],[Gastos]]</f>
        <v>10422.880019999997</v>
      </c>
      <c r="H475" s="13">
        <f>Tabla1[[#This Row],[Beneficio]]/Tabla1[[#This Row],[Ingresos]]</f>
        <v>0.42528735632183895</v>
      </c>
    </row>
    <row r="476" spans="1:8" x14ac:dyDescent="0.35">
      <c r="A476" s="2">
        <v>43420</v>
      </c>
      <c r="B476" t="s">
        <v>8</v>
      </c>
      <c r="C476" t="s">
        <v>11</v>
      </c>
      <c r="D476" t="s">
        <v>15</v>
      </c>
      <c r="E476" s="7">
        <v>32031.100079999997</v>
      </c>
      <c r="F476" s="7">
        <v>22243.819500000001</v>
      </c>
      <c r="G476" s="8">
        <f>Tabla1[[#This Row],[Ingresos]]-Tabla1[[#This Row],[Gastos]]</f>
        <v>9787.2805799999951</v>
      </c>
      <c r="H476" s="13">
        <f>Tabla1[[#This Row],[Beneficio]]/Tabla1[[#This Row],[Ingresos]]</f>
        <v>0.30555555555555541</v>
      </c>
    </row>
    <row r="477" spans="1:8" x14ac:dyDescent="0.35">
      <c r="A477" s="2">
        <v>43420</v>
      </c>
      <c r="B477" t="s">
        <v>5</v>
      </c>
      <c r="C477" t="s">
        <v>10</v>
      </c>
      <c r="D477" t="s">
        <v>16</v>
      </c>
      <c r="E477" s="7">
        <v>81915.416826923072</v>
      </c>
      <c r="F477" s="7">
        <v>75726.252000000008</v>
      </c>
      <c r="G477" s="8">
        <f>Tabla1[[#This Row],[Ingresos]]-Tabla1[[#This Row],[Gastos]]</f>
        <v>6189.1648269230645</v>
      </c>
      <c r="H477" s="13">
        <f>Tabla1[[#This Row],[Beneficio]]/Tabla1[[#This Row],[Ingresos]]</f>
        <v>7.5555555555555404E-2</v>
      </c>
    </row>
    <row r="478" spans="1:8" x14ac:dyDescent="0.35">
      <c r="A478" s="2">
        <v>43420</v>
      </c>
      <c r="B478" t="s">
        <v>6</v>
      </c>
      <c r="C478" t="s">
        <v>13</v>
      </c>
      <c r="D478" t="s">
        <v>17</v>
      </c>
      <c r="E478" s="7">
        <v>235132.38</v>
      </c>
      <c r="F478" s="7">
        <v>174669.76799999998</v>
      </c>
      <c r="G478" s="8">
        <f>Tabla1[[#This Row],[Ingresos]]-Tabla1[[#This Row],[Gastos]]</f>
        <v>60462.612000000023</v>
      </c>
      <c r="H478" s="13">
        <f>Tabla1[[#This Row],[Beneficio]]/Tabla1[[#This Row],[Ingresos]]</f>
        <v>0.25714285714285723</v>
      </c>
    </row>
    <row r="479" spans="1:8" x14ac:dyDescent="0.35">
      <c r="A479" s="2">
        <v>43420</v>
      </c>
      <c r="B479" t="s">
        <v>6</v>
      </c>
      <c r="C479" t="s">
        <v>11</v>
      </c>
      <c r="D479" t="s">
        <v>19</v>
      </c>
      <c r="E479" s="7">
        <v>59851.990800000007</v>
      </c>
      <c r="F479" s="7">
        <v>50894.549999999996</v>
      </c>
      <c r="G479" s="8">
        <f>Tabla1[[#This Row],[Ingresos]]-Tabla1[[#This Row],[Gastos]]</f>
        <v>8957.4408000000112</v>
      </c>
      <c r="H479" s="13">
        <f>Tabla1[[#This Row],[Beneficio]]/Tabla1[[#This Row],[Ingresos]]</f>
        <v>0.1496598639455784</v>
      </c>
    </row>
    <row r="480" spans="1:8" x14ac:dyDescent="0.35">
      <c r="A480" s="2">
        <v>43420</v>
      </c>
      <c r="B480" t="s">
        <v>6</v>
      </c>
      <c r="C480" t="s">
        <v>10</v>
      </c>
      <c r="D480" t="s">
        <v>19</v>
      </c>
      <c r="E480" s="7">
        <v>133893.2322</v>
      </c>
      <c r="F480" s="7">
        <v>115028.54999999999</v>
      </c>
      <c r="G480" s="8">
        <f>Tabla1[[#This Row],[Ingresos]]-Tabla1[[#This Row],[Gastos]]</f>
        <v>18864.68220000001</v>
      </c>
      <c r="H480" s="13">
        <f>Tabla1[[#This Row],[Beneficio]]/Tabla1[[#This Row],[Ingresos]]</f>
        <v>0.14089347079037809</v>
      </c>
    </row>
    <row r="481" spans="1:8" x14ac:dyDescent="0.35">
      <c r="A481" s="2">
        <v>43421</v>
      </c>
      <c r="B481" t="s">
        <v>5</v>
      </c>
      <c r="C481" t="s">
        <v>13</v>
      </c>
      <c r="D481" t="s">
        <v>19</v>
      </c>
      <c r="E481" s="7">
        <v>120578.22</v>
      </c>
      <c r="F481" s="7">
        <v>108045</v>
      </c>
      <c r="G481" s="8">
        <f>Tabla1[[#This Row],[Ingresos]]-Tabla1[[#This Row],[Gastos]]</f>
        <v>12533.220000000001</v>
      </c>
      <c r="H481" s="13">
        <f>Tabla1[[#This Row],[Beneficio]]/Tabla1[[#This Row],[Ingresos]]</f>
        <v>0.10394265232974911</v>
      </c>
    </row>
    <row r="482" spans="1:8" x14ac:dyDescent="0.35">
      <c r="A482" s="2">
        <v>43421</v>
      </c>
      <c r="B482" t="s">
        <v>9</v>
      </c>
      <c r="C482" t="s">
        <v>11</v>
      </c>
      <c r="D482" t="s">
        <v>19</v>
      </c>
      <c r="E482" s="7">
        <v>165945.98790000001</v>
      </c>
      <c r="F482" s="7">
        <v>147115.23749999999</v>
      </c>
      <c r="G482" s="8">
        <f>Tabla1[[#This Row],[Ingresos]]-Tabla1[[#This Row],[Gastos]]</f>
        <v>18830.750400000019</v>
      </c>
      <c r="H482" s="13">
        <f>Tabla1[[#This Row],[Beneficio]]/Tabla1[[#This Row],[Ingresos]]</f>
        <v>0.11347517730496465</v>
      </c>
    </row>
    <row r="483" spans="1:8" x14ac:dyDescent="0.35">
      <c r="A483" s="2">
        <v>43422</v>
      </c>
      <c r="B483" t="s">
        <v>7</v>
      </c>
      <c r="C483" t="s">
        <v>12</v>
      </c>
      <c r="D483" t="s">
        <v>17</v>
      </c>
      <c r="E483" s="7">
        <v>4695.768</v>
      </c>
      <c r="F483" s="7">
        <v>3811.4999999999995</v>
      </c>
      <c r="G483" s="8">
        <f>Tabla1[[#This Row],[Ingresos]]-Tabla1[[#This Row],[Gastos]]</f>
        <v>884.26800000000048</v>
      </c>
      <c r="H483" s="13">
        <f>Tabla1[[#This Row],[Beneficio]]/Tabla1[[#This Row],[Ingresos]]</f>
        <v>0.1883116883116884</v>
      </c>
    </row>
    <row r="484" spans="1:8" x14ac:dyDescent="0.35">
      <c r="A484" s="2">
        <v>43422</v>
      </c>
      <c r="B484" t="s">
        <v>6</v>
      </c>
      <c r="C484" t="s">
        <v>13</v>
      </c>
      <c r="D484" t="s">
        <v>17</v>
      </c>
      <c r="E484" s="7">
        <v>8726.8749119999993</v>
      </c>
      <c r="F484" s="7">
        <v>6775.5240000000003</v>
      </c>
      <c r="G484" s="8">
        <f>Tabla1[[#This Row],[Ingresos]]-Tabla1[[#This Row],[Gastos]]</f>
        <v>1951.350911999999</v>
      </c>
      <c r="H484" s="13">
        <f>Tabla1[[#This Row],[Beneficio]]/Tabla1[[#This Row],[Ingresos]]</f>
        <v>0.22360248447204958</v>
      </c>
    </row>
    <row r="485" spans="1:8" x14ac:dyDescent="0.35">
      <c r="A485" s="2">
        <v>43423</v>
      </c>
      <c r="B485" t="s">
        <v>6</v>
      </c>
      <c r="C485" t="s">
        <v>43</v>
      </c>
      <c r="D485" t="s">
        <v>17</v>
      </c>
      <c r="E485" s="7">
        <v>185550.75</v>
      </c>
      <c r="F485" s="7">
        <v>153153</v>
      </c>
      <c r="G485" s="8">
        <f>Tabla1[[#This Row],[Ingresos]]-Tabla1[[#This Row],[Gastos]]</f>
        <v>32397.75</v>
      </c>
      <c r="H485" s="13">
        <f>Tabla1[[#This Row],[Beneficio]]/Tabla1[[#This Row],[Ingresos]]</f>
        <v>0.17460317460317459</v>
      </c>
    </row>
    <row r="486" spans="1:8" x14ac:dyDescent="0.35">
      <c r="A486" s="2">
        <v>43423</v>
      </c>
      <c r="B486" t="s">
        <v>8</v>
      </c>
      <c r="C486" t="s">
        <v>11</v>
      </c>
      <c r="D486" t="s">
        <v>19</v>
      </c>
      <c r="E486" s="7">
        <v>143711.82</v>
      </c>
      <c r="F486" s="7">
        <v>119759.84999999999</v>
      </c>
      <c r="G486" s="8">
        <f>Tabla1[[#This Row],[Ingresos]]-Tabla1[[#This Row],[Gastos]]</f>
        <v>23951.970000000016</v>
      </c>
      <c r="H486" s="13">
        <f>Tabla1[[#This Row],[Beneficio]]/Tabla1[[#This Row],[Ingresos]]</f>
        <v>0.16666666666666677</v>
      </c>
    </row>
    <row r="487" spans="1:8" x14ac:dyDescent="0.35">
      <c r="A487" s="2">
        <v>43423</v>
      </c>
      <c r="B487" t="s">
        <v>7</v>
      </c>
      <c r="C487" t="s">
        <v>43</v>
      </c>
      <c r="D487" t="s">
        <v>19</v>
      </c>
      <c r="E487" s="7">
        <v>454261.5</v>
      </c>
      <c r="F487" s="7">
        <v>398475</v>
      </c>
      <c r="G487" s="8">
        <f>Tabla1[[#This Row],[Ingresos]]-Tabla1[[#This Row],[Gastos]]</f>
        <v>55786.5</v>
      </c>
      <c r="H487" s="13">
        <f>Tabla1[[#This Row],[Beneficio]]/Tabla1[[#This Row],[Ingresos]]</f>
        <v>0.12280701754385964</v>
      </c>
    </row>
    <row r="488" spans="1:8" x14ac:dyDescent="0.35">
      <c r="A488" s="2">
        <v>43424</v>
      </c>
      <c r="B488" t="s">
        <v>9</v>
      </c>
      <c r="C488" t="s">
        <v>13</v>
      </c>
      <c r="D488" t="s">
        <v>16</v>
      </c>
      <c r="E488" s="7">
        <v>346256.80031249998</v>
      </c>
      <c r="F488" s="7">
        <v>316577.64600000001</v>
      </c>
      <c r="G488" s="8">
        <f>Tabla1[[#This Row],[Ingresos]]-Tabla1[[#This Row],[Gastos]]</f>
        <v>29679.154312499973</v>
      </c>
      <c r="H488" s="13">
        <f>Tabla1[[#This Row],[Beneficio]]/Tabla1[[#This Row],[Ingresos]]</f>
        <v>8.5714285714285646E-2</v>
      </c>
    </row>
    <row r="489" spans="1:8" x14ac:dyDescent="0.35">
      <c r="A489" s="2">
        <v>43424</v>
      </c>
      <c r="B489" t="s">
        <v>7</v>
      </c>
      <c r="C489" t="s">
        <v>10</v>
      </c>
      <c r="D489" t="s">
        <v>17</v>
      </c>
      <c r="E489" s="7">
        <v>56032.192439999992</v>
      </c>
      <c r="F489" s="7">
        <v>30452.2785</v>
      </c>
      <c r="G489" s="8">
        <f>Tabla1[[#This Row],[Ingresos]]-Tabla1[[#This Row],[Gastos]]</f>
        <v>25579.913939999991</v>
      </c>
      <c r="H489" s="13">
        <f>Tabla1[[#This Row],[Beneficio]]/Tabla1[[#This Row],[Ingresos]]</f>
        <v>0.4565217391304347</v>
      </c>
    </row>
    <row r="490" spans="1:8" x14ac:dyDescent="0.35">
      <c r="A490" s="2">
        <v>43425</v>
      </c>
      <c r="B490" t="s">
        <v>7</v>
      </c>
      <c r="C490" t="s">
        <v>10</v>
      </c>
      <c r="D490" t="s">
        <v>15</v>
      </c>
      <c r="E490" s="7">
        <v>23486.863679999999</v>
      </c>
      <c r="F490" s="7">
        <v>16310.322</v>
      </c>
      <c r="G490" s="8">
        <f>Tabla1[[#This Row],[Ingresos]]-Tabla1[[#This Row],[Gastos]]</f>
        <v>7176.5416799999985</v>
      </c>
      <c r="H490" s="13">
        <f>Tabla1[[#This Row],[Beneficio]]/Tabla1[[#This Row],[Ingresos]]</f>
        <v>0.30555555555555552</v>
      </c>
    </row>
    <row r="491" spans="1:8" x14ac:dyDescent="0.35">
      <c r="A491" s="2">
        <v>43425</v>
      </c>
      <c r="B491" t="s">
        <v>9</v>
      </c>
      <c r="C491" t="s">
        <v>12</v>
      </c>
      <c r="D491" t="s">
        <v>18</v>
      </c>
      <c r="E491" s="7">
        <v>3803.8260960000002</v>
      </c>
      <c r="F491" s="7">
        <v>3317.2901999999999</v>
      </c>
      <c r="G491" s="8">
        <f>Tabla1[[#This Row],[Ingresos]]-Tabla1[[#This Row],[Gastos]]</f>
        <v>486.53589600000032</v>
      </c>
      <c r="H491" s="13">
        <f>Tabla1[[#This Row],[Beneficio]]/Tabla1[[#This Row],[Ingresos]]</f>
        <v>0.12790697674418613</v>
      </c>
    </row>
    <row r="492" spans="1:8" x14ac:dyDescent="0.35">
      <c r="A492" s="2">
        <v>43426</v>
      </c>
      <c r="B492" t="s">
        <v>6</v>
      </c>
      <c r="C492" t="s">
        <v>11</v>
      </c>
      <c r="D492" t="s">
        <v>17</v>
      </c>
      <c r="E492" s="7">
        <v>123438.10499999998</v>
      </c>
      <c r="F492" s="7">
        <v>91696.877999999997</v>
      </c>
      <c r="G492" s="8">
        <f>Tabla1[[#This Row],[Ingresos]]-Tabla1[[#This Row],[Gastos]]</f>
        <v>31741.226999999984</v>
      </c>
      <c r="H492" s="13">
        <f>Tabla1[[#This Row],[Beneficio]]/Tabla1[[#This Row],[Ingresos]]</f>
        <v>0.25714285714285706</v>
      </c>
    </row>
    <row r="493" spans="1:8" x14ac:dyDescent="0.35">
      <c r="A493" s="2">
        <v>43427</v>
      </c>
      <c r="B493" t="s">
        <v>5</v>
      </c>
      <c r="C493" t="s">
        <v>10</v>
      </c>
      <c r="D493" t="s">
        <v>17</v>
      </c>
      <c r="E493" s="7">
        <v>39951.88596</v>
      </c>
      <c r="F493" s="7">
        <v>22960.853999999999</v>
      </c>
      <c r="G493" s="8">
        <f>Tabla1[[#This Row],[Ingresos]]-Tabla1[[#This Row],[Gastos]]</f>
        <v>16991.03196</v>
      </c>
      <c r="H493" s="13">
        <f>Tabla1[[#This Row],[Beneficio]]/Tabla1[[#This Row],[Ingresos]]</f>
        <v>0.42528735632183912</v>
      </c>
    </row>
    <row r="494" spans="1:8" x14ac:dyDescent="0.35">
      <c r="A494" s="2">
        <v>43427</v>
      </c>
      <c r="B494" t="s">
        <v>6</v>
      </c>
      <c r="C494" t="s">
        <v>12</v>
      </c>
      <c r="D494" t="s">
        <v>19</v>
      </c>
      <c r="E494" s="7">
        <v>223315.3125</v>
      </c>
      <c r="F494" s="7">
        <v>195890.625</v>
      </c>
      <c r="G494" s="8">
        <f>Tabla1[[#This Row],[Ingresos]]-Tabla1[[#This Row],[Gastos]]</f>
        <v>27424.6875</v>
      </c>
      <c r="H494" s="13">
        <f>Tabla1[[#This Row],[Beneficio]]/Tabla1[[#This Row],[Ingresos]]</f>
        <v>0.12280701754385964</v>
      </c>
    </row>
    <row r="495" spans="1:8" x14ac:dyDescent="0.35">
      <c r="A495" s="2">
        <v>43428</v>
      </c>
      <c r="B495" t="s">
        <v>8</v>
      </c>
      <c r="C495" t="s">
        <v>12</v>
      </c>
      <c r="D495" t="s">
        <v>15</v>
      </c>
      <c r="E495" s="7">
        <v>25515.884520000003</v>
      </c>
      <c r="F495" s="7">
        <v>18096.371999999999</v>
      </c>
      <c r="G495" s="8">
        <f>Tabla1[[#This Row],[Ingresos]]-Tabla1[[#This Row],[Gastos]]</f>
        <v>7419.5125200000039</v>
      </c>
      <c r="H495" s="13">
        <f>Tabla1[[#This Row],[Beneficio]]/Tabla1[[#This Row],[Ingresos]]</f>
        <v>0.29078014184397172</v>
      </c>
    </row>
    <row r="496" spans="1:8" x14ac:dyDescent="0.35">
      <c r="A496" s="2">
        <v>43429</v>
      </c>
      <c r="B496" t="s">
        <v>8</v>
      </c>
      <c r="C496" t="s">
        <v>10</v>
      </c>
      <c r="D496" t="s">
        <v>17</v>
      </c>
      <c r="E496" s="7">
        <v>3533.2335674999999</v>
      </c>
      <c r="F496" s="7">
        <v>2773.3387499999999</v>
      </c>
      <c r="G496" s="8">
        <f>Tabla1[[#This Row],[Ingresos]]-Tabla1[[#This Row],[Gastos]]</f>
        <v>759.89481750000004</v>
      </c>
      <c r="H496" s="13">
        <f>Tabla1[[#This Row],[Beneficio]]/Tabla1[[#This Row],[Ingresos]]</f>
        <v>0.21507064364207223</v>
      </c>
    </row>
    <row r="497" spans="1:8" x14ac:dyDescent="0.35">
      <c r="A497" s="2">
        <v>43429</v>
      </c>
      <c r="B497" t="s">
        <v>6</v>
      </c>
      <c r="C497" t="s">
        <v>43</v>
      </c>
      <c r="D497" t="s">
        <v>18</v>
      </c>
      <c r="E497" s="7">
        <v>3331.3517999999995</v>
      </c>
      <c r="F497" s="7">
        <v>2871.855</v>
      </c>
      <c r="G497" s="8">
        <f>Tabla1[[#This Row],[Ingresos]]-Tabla1[[#This Row],[Gastos]]</f>
        <v>459.49679999999944</v>
      </c>
      <c r="H497" s="13">
        <f>Tabla1[[#This Row],[Beneficio]]/Tabla1[[#This Row],[Ingresos]]</f>
        <v>0.13793103448275848</v>
      </c>
    </row>
    <row r="498" spans="1:8" x14ac:dyDescent="0.35">
      <c r="A498" s="2">
        <v>43430</v>
      </c>
      <c r="B498" t="s">
        <v>5</v>
      </c>
      <c r="C498" t="s">
        <v>43</v>
      </c>
      <c r="D498" t="s">
        <v>17</v>
      </c>
      <c r="E498" s="7">
        <v>36938.159999999996</v>
      </c>
      <c r="F498" s="7">
        <v>28583.1</v>
      </c>
      <c r="G498" s="8">
        <f>Tabla1[[#This Row],[Ingresos]]-Tabla1[[#This Row],[Gastos]]</f>
        <v>8355.0599999999977</v>
      </c>
      <c r="H498" s="13">
        <f>Tabla1[[#This Row],[Beneficio]]/Tabla1[[#This Row],[Ingresos]]</f>
        <v>0.22619047619047616</v>
      </c>
    </row>
    <row r="499" spans="1:8" x14ac:dyDescent="0.35">
      <c r="A499" s="2">
        <v>43430</v>
      </c>
      <c r="B499" t="s">
        <v>6</v>
      </c>
      <c r="C499" t="s">
        <v>43</v>
      </c>
      <c r="D499" t="s">
        <v>17</v>
      </c>
      <c r="E499" s="7">
        <v>11338.771499999999</v>
      </c>
      <c r="F499" s="7">
        <v>8099.1225000000004</v>
      </c>
      <c r="G499" s="8">
        <f>Tabla1[[#This Row],[Ingresos]]-Tabla1[[#This Row],[Gastos]]</f>
        <v>3239.6489999999985</v>
      </c>
      <c r="H499" s="13">
        <f>Tabla1[[#This Row],[Beneficio]]/Tabla1[[#This Row],[Ingresos]]</f>
        <v>0.28571428571428559</v>
      </c>
    </row>
    <row r="500" spans="1:8" x14ac:dyDescent="0.35">
      <c r="A500" s="2">
        <v>43431</v>
      </c>
      <c r="B500" t="s">
        <v>8</v>
      </c>
      <c r="C500" t="s">
        <v>11</v>
      </c>
      <c r="D500" t="s">
        <v>17</v>
      </c>
      <c r="E500" s="7">
        <v>5305.0535999999993</v>
      </c>
      <c r="F500" s="7">
        <v>4306.0499999999993</v>
      </c>
      <c r="G500" s="8">
        <f>Tabla1[[#This Row],[Ingresos]]-Tabla1[[#This Row],[Gastos]]</f>
        <v>999.00360000000001</v>
      </c>
      <c r="H500" s="13">
        <f>Tabla1[[#This Row],[Beneficio]]/Tabla1[[#This Row],[Ingresos]]</f>
        <v>0.18831168831168835</v>
      </c>
    </row>
    <row r="501" spans="1:8" x14ac:dyDescent="0.35">
      <c r="A501" s="2">
        <v>43431</v>
      </c>
      <c r="B501" t="s">
        <v>8</v>
      </c>
      <c r="C501" t="s">
        <v>11</v>
      </c>
      <c r="D501" t="s">
        <v>19</v>
      </c>
      <c r="E501" s="7">
        <v>189094.5</v>
      </c>
      <c r="F501" s="7">
        <v>157578.75</v>
      </c>
      <c r="G501" s="8">
        <f>Tabla1[[#This Row],[Ingresos]]-Tabla1[[#This Row],[Gastos]]</f>
        <v>31515.75</v>
      </c>
      <c r="H501" s="13">
        <f>Tabla1[[#This Row],[Beneficio]]/Tabla1[[#This Row],[Ingresos]]</f>
        <v>0.16666666666666666</v>
      </c>
    </row>
    <row r="502" spans="1:8" x14ac:dyDescent="0.35">
      <c r="A502" s="2">
        <v>43431</v>
      </c>
      <c r="B502" t="s">
        <v>8</v>
      </c>
      <c r="C502" t="s">
        <v>10</v>
      </c>
      <c r="D502" t="s">
        <v>19</v>
      </c>
      <c r="E502" s="7">
        <v>121579.92</v>
      </c>
      <c r="F502" s="7">
        <v>117809.99999999999</v>
      </c>
      <c r="G502" s="8">
        <f>Tabla1[[#This Row],[Ingresos]]-Tabla1[[#This Row],[Gastos]]</f>
        <v>3769.9200000000128</v>
      </c>
      <c r="H502" s="13">
        <f>Tabla1[[#This Row],[Beneficio]]/Tabla1[[#This Row],[Ingresos]]</f>
        <v>3.1007751937984603E-2</v>
      </c>
    </row>
    <row r="503" spans="1:8" x14ac:dyDescent="0.35">
      <c r="A503" s="2">
        <v>43432</v>
      </c>
      <c r="B503" t="s">
        <v>5</v>
      </c>
      <c r="C503" t="s">
        <v>12</v>
      </c>
      <c r="D503" t="s">
        <v>19</v>
      </c>
      <c r="E503" s="7">
        <v>299601.85499999998</v>
      </c>
      <c r="F503" s="7">
        <v>290311.875</v>
      </c>
      <c r="G503" s="8">
        <f>Tabla1[[#This Row],[Ingresos]]-Tabla1[[#This Row],[Gastos]]</f>
        <v>9289.9799999999814</v>
      </c>
      <c r="H503" s="13">
        <f>Tabla1[[#This Row],[Beneficio]]/Tabla1[[#This Row],[Ingresos]]</f>
        <v>3.1007751937984437E-2</v>
      </c>
    </row>
    <row r="504" spans="1:8" x14ac:dyDescent="0.35">
      <c r="A504" s="2">
        <v>43433</v>
      </c>
      <c r="B504" t="s">
        <v>7</v>
      </c>
      <c r="C504" t="s">
        <v>10</v>
      </c>
      <c r="D504" t="s">
        <v>17</v>
      </c>
      <c r="E504" s="7">
        <v>5632.7827499999994</v>
      </c>
      <c r="F504" s="7">
        <v>4235.1750000000002</v>
      </c>
      <c r="G504" s="8">
        <f>Tabla1[[#This Row],[Ingresos]]-Tabla1[[#This Row],[Gastos]]</f>
        <v>1397.6077499999992</v>
      </c>
      <c r="H504" s="13">
        <f>Tabla1[[#This Row],[Beneficio]]/Tabla1[[#This Row],[Ingresos]]</f>
        <v>0.24812030075187957</v>
      </c>
    </row>
    <row r="505" spans="1:8" x14ac:dyDescent="0.35">
      <c r="A505" s="2">
        <v>43433</v>
      </c>
      <c r="B505" t="s">
        <v>8</v>
      </c>
      <c r="C505" t="s">
        <v>13</v>
      </c>
      <c r="D505" t="s">
        <v>17</v>
      </c>
      <c r="E505" s="7">
        <v>18394.109999999997</v>
      </c>
      <c r="F505" s="7">
        <v>15888.599999999999</v>
      </c>
      <c r="G505" s="8">
        <f>Tabla1[[#This Row],[Ingresos]]-Tabla1[[#This Row],[Gastos]]</f>
        <v>2505.5099999999984</v>
      </c>
      <c r="H505" s="13">
        <f>Tabla1[[#This Row],[Beneficio]]/Tabla1[[#This Row],[Ingresos]]</f>
        <v>0.13621262458471756</v>
      </c>
    </row>
    <row r="506" spans="1:8" x14ac:dyDescent="0.35">
      <c r="A506" s="2">
        <v>43433</v>
      </c>
      <c r="B506" t="s">
        <v>8</v>
      </c>
      <c r="C506" t="s">
        <v>10</v>
      </c>
      <c r="D506" t="s">
        <v>19</v>
      </c>
      <c r="E506" s="7">
        <v>134622.24300000002</v>
      </c>
      <c r="F506" s="7">
        <v>120629.24999999999</v>
      </c>
      <c r="G506" s="8">
        <f>Tabla1[[#This Row],[Ingresos]]-Tabla1[[#This Row],[Gastos]]</f>
        <v>13992.993000000031</v>
      </c>
      <c r="H506" s="13">
        <f>Tabla1[[#This Row],[Beneficio]]/Tabla1[[#This Row],[Ingresos]]</f>
        <v>0.10394265232974932</v>
      </c>
    </row>
    <row r="507" spans="1:8" x14ac:dyDescent="0.35">
      <c r="A507" s="2">
        <v>43434</v>
      </c>
      <c r="B507" t="s">
        <v>8</v>
      </c>
      <c r="C507" t="s">
        <v>10</v>
      </c>
      <c r="D507" t="s">
        <v>15</v>
      </c>
      <c r="E507" s="7">
        <v>6482.2275</v>
      </c>
      <c r="F507" s="7">
        <v>5084.0999999999995</v>
      </c>
      <c r="G507" s="8">
        <f>Tabla1[[#This Row],[Ingresos]]-Tabla1[[#This Row],[Gastos]]</f>
        <v>1398.1275000000005</v>
      </c>
      <c r="H507" s="13">
        <f>Tabla1[[#This Row],[Beneficio]]/Tabla1[[#This Row],[Ingresos]]</f>
        <v>0.21568627450980399</v>
      </c>
    </row>
    <row r="508" spans="1:8" x14ac:dyDescent="0.35">
      <c r="A508" s="2">
        <v>43435</v>
      </c>
      <c r="B508" t="s">
        <v>5</v>
      </c>
      <c r="C508" t="s">
        <v>43</v>
      </c>
      <c r="D508" t="s">
        <v>15</v>
      </c>
      <c r="E508" s="7">
        <v>10552.295249999999</v>
      </c>
      <c r="F508" s="7">
        <v>8086.0499999999993</v>
      </c>
      <c r="G508" s="8">
        <f>Tabla1[[#This Row],[Ingresos]]-Tabla1[[#This Row],[Gastos]]</f>
        <v>2466.2452499999999</v>
      </c>
      <c r="H508" s="13">
        <f>Tabla1[[#This Row],[Beneficio]]/Tabla1[[#This Row],[Ingresos]]</f>
        <v>0.23371647509578544</v>
      </c>
    </row>
    <row r="509" spans="1:8" x14ac:dyDescent="0.35">
      <c r="A509" s="2">
        <v>43435</v>
      </c>
      <c r="B509" t="s">
        <v>7</v>
      </c>
      <c r="C509" t="s">
        <v>43</v>
      </c>
      <c r="D509" t="s">
        <v>16</v>
      </c>
      <c r="E509" s="7">
        <v>46563.057692307688</v>
      </c>
      <c r="F509" s="7">
        <v>42109.2</v>
      </c>
      <c r="G509" s="8">
        <f>Tabla1[[#This Row],[Ingresos]]-Tabla1[[#This Row],[Gastos]]</f>
        <v>4453.8576923076907</v>
      </c>
      <c r="H509" s="13">
        <f>Tabla1[[#This Row],[Beneficio]]/Tabla1[[#This Row],[Ingresos]]</f>
        <v>9.5652173913043453E-2</v>
      </c>
    </row>
    <row r="510" spans="1:8" x14ac:dyDescent="0.35">
      <c r="A510" s="2">
        <v>43435</v>
      </c>
      <c r="B510" t="s">
        <v>9</v>
      </c>
      <c r="C510" t="s">
        <v>10</v>
      </c>
      <c r="D510" t="s">
        <v>17</v>
      </c>
      <c r="E510" s="7">
        <v>5648.4540000000006</v>
      </c>
      <c r="F510" s="7">
        <v>3322.62</v>
      </c>
      <c r="G510" s="8">
        <f>Tabla1[[#This Row],[Ingresos]]-Tabla1[[#This Row],[Gastos]]</f>
        <v>2325.8340000000007</v>
      </c>
      <c r="H510" s="13">
        <f>Tabla1[[#This Row],[Beneficio]]/Tabla1[[#This Row],[Ingresos]]</f>
        <v>0.41176470588235303</v>
      </c>
    </row>
    <row r="511" spans="1:8" x14ac:dyDescent="0.35">
      <c r="A511" s="2">
        <v>43436</v>
      </c>
      <c r="B511" t="s">
        <v>9</v>
      </c>
      <c r="C511" t="s">
        <v>11</v>
      </c>
      <c r="D511" t="s">
        <v>17</v>
      </c>
      <c r="E511" s="7">
        <v>38644.83</v>
      </c>
      <c r="F511" s="7">
        <v>31203.899999999998</v>
      </c>
      <c r="G511" s="8">
        <f>Tabla1[[#This Row],[Ingresos]]-Tabla1[[#This Row],[Gastos]]</f>
        <v>7440.9300000000039</v>
      </c>
      <c r="H511" s="13">
        <f>Tabla1[[#This Row],[Beneficio]]/Tabla1[[#This Row],[Ingresos]]</f>
        <v>0.19254658385093176</v>
      </c>
    </row>
    <row r="512" spans="1:8" x14ac:dyDescent="0.35">
      <c r="A512" s="2">
        <v>43437</v>
      </c>
      <c r="B512" t="s">
        <v>5</v>
      </c>
      <c r="C512" t="s">
        <v>10</v>
      </c>
      <c r="D512" t="s">
        <v>16</v>
      </c>
      <c r="E512" s="7">
        <v>170462.00769230767</v>
      </c>
      <c r="F512" s="7">
        <v>149288.83199999999</v>
      </c>
      <c r="G512" s="8">
        <f>Tabla1[[#This Row],[Ingresos]]-Tabla1[[#This Row],[Gastos]]</f>
        <v>21173.175692307675</v>
      </c>
      <c r="H512" s="13">
        <f>Tabla1[[#This Row],[Beneficio]]/Tabla1[[#This Row],[Ingresos]]</f>
        <v>0.1242105263157894</v>
      </c>
    </row>
    <row r="513" spans="1:8" x14ac:dyDescent="0.35">
      <c r="A513" s="2">
        <v>43437</v>
      </c>
      <c r="B513" t="s">
        <v>8</v>
      </c>
      <c r="C513" t="s">
        <v>11</v>
      </c>
      <c r="D513" t="s">
        <v>17</v>
      </c>
      <c r="E513" s="7">
        <v>10784.97</v>
      </c>
      <c r="F513" s="7">
        <v>5676.2999999999993</v>
      </c>
      <c r="G513" s="8">
        <f>Tabla1[[#This Row],[Ingresos]]-Tabla1[[#This Row],[Gastos]]</f>
        <v>5108.67</v>
      </c>
      <c r="H513" s="13">
        <f>Tabla1[[#This Row],[Beneficio]]/Tabla1[[#This Row],[Ingresos]]</f>
        <v>0.47368421052631582</v>
      </c>
    </row>
    <row r="514" spans="1:8" x14ac:dyDescent="0.35">
      <c r="A514" s="2">
        <v>43437</v>
      </c>
      <c r="B514" t="s">
        <v>7</v>
      </c>
      <c r="C514" t="s">
        <v>13</v>
      </c>
      <c r="D514" t="s">
        <v>17</v>
      </c>
      <c r="E514" s="7">
        <v>1045.41255</v>
      </c>
      <c r="F514" s="7">
        <v>820.57499999999993</v>
      </c>
      <c r="G514" s="8">
        <f>Tabla1[[#This Row],[Ingresos]]-Tabla1[[#This Row],[Gastos]]</f>
        <v>224.83755000000008</v>
      </c>
      <c r="H514" s="13">
        <f>Tabla1[[#This Row],[Beneficio]]/Tabla1[[#This Row],[Ingresos]]</f>
        <v>0.21507064364207229</v>
      </c>
    </row>
    <row r="515" spans="1:8" x14ac:dyDescent="0.35">
      <c r="A515" s="2">
        <v>43437</v>
      </c>
      <c r="B515" t="s">
        <v>7</v>
      </c>
      <c r="C515" t="s">
        <v>12</v>
      </c>
      <c r="D515" t="s">
        <v>17</v>
      </c>
      <c r="E515" s="7">
        <v>4872.2561999999998</v>
      </c>
      <c r="F515" s="7">
        <v>3480.183</v>
      </c>
      <c r="G515" s="8">
        <f>Tabla1[[#This Row],[Ingresos]]-Tabla1[[#This Row],[Gastos]]</f>
        <v>1392.0731999999998</v>
      </c>
      <c r="H515" s="13">
        <f>Tabla1[[#This Row],[Beneficio]]/Tabla1[[#This Row],[Ingresos]]</f>
        <v>0.2857142857142857</v>
      </c>
    </row>
    <row r="516" spans="1:8" x14ac:dyDescent="0.35">
      <c r="A516" s="2">
        <v>43438</v>
      </c>
      <c r="B516" t="s">
        <v>9</v>
      </c>
      <c r="C516" t="s">
        <v>11</v>
      </c>
      <c r="D516" t="s">
        <v>15</v>
      </c>
      <c r="E516" s="7">
        <v>8811.1799999999985</v>
      </c>
      <c r="F516" s="7">
        <v>6526.7999999999993</v>
      </c>
      <c r="G516" s="8">
        <f>Tabla1[[#This Row],[Ingresos]]-Tabla1[[#This Row],[Gastos]]</f>
        <v>2284.3799999999992</v>
      </c>
      <c r="H516" s="13">
        <f>Tabla1[[#This Row],[Beneficio]]/Tabla1[[#This Row],[Ingresos]]</f>
        <v>0.25925925925925919</v>
      </c>
    </row>
    <row r="517" spans="1:8" x14ac:dyDescent="0.35">
      <c r="A517" s="2">
        <v>43438</v>
      </c>
      <c r="B517" t="s">
        <v>9</v>
      </c>
      <c r="C517" t="s">
        <v>10</v>
      </c>
      <c r="D517" t="s">
        <v>17</v>
      </c>
      <c r="E517" s="7">
        <v>8731.4374979999993</v>
      </c>
      <c r="F517" s="7">
        <v>7252.0244999999995</v>
      </c>
      <c r="G517" s="8">
        <f>Tabla1[[#This Row],[Ingresos]]-Tabla1[[#This Row],[Gastos]]</f>
        <v>1479.4129979999998</v>
      </c>
      <c r="H517" s="13">
        <f>Tabla1[[#This Row],[Beneficio]]/Tabla1[[#This Row],[Ingresos]]</f>
        <v>0.16943521594684385</v>
      </c>
    </row>
    <row r="518" spans="1:8" x14ac:dyDescent="0.35">
      <c r="A518" s="2">
        <v>43439</v>
      </c>
      <c r="B518" t="s">
        <v>7</v>
      </c>
      <c r="C518" t="s">
        <v>13</v>
      </c>
      <c r="D518" t="s">
        <v>15</v>
      </c>
      <c r="E518" s="7">
        <v>44465.557499999995</v>
      </c>
      <c r="F518" s="7">
        <v>29643.704999999998</v>
      </c>
      <c r="G518" s="8">
        <f>Tabla1[[#This Row],[Ingresos]]-Tabla1[[#This Row],[Gastos]]</f>
        <v>14821.852499999997</v>
      </c>
      <c r="H518" s="13">
        <f>Tabla1[[#This Row],[Beneficio]]/Tabla1[[#This Row],[Ingresos]]</f>
        <v>0.33333333333333331</v>
      </c>
    </row>
    <row r="519" spans="1:8" x14ac:dyDescent="0.35">
      <c r="A519" s="2">
        <v>43439</v>
      </c>
      <c r="B519" t="s">
        <v>6</v>
      </c>
      <c r="C519" t="s">
        <v>43</v>
      </c>
      <c r="D519" t="s">
        <v>17</v>
      </c>
      <c r="E519" s="7">
        <v>1366.47</v>
      </c>
      <c r="F519" s="7">
        <v>759.15</v>
      </c>
      <c r="G519" s="8">
        <f>Tabla1[[#This Row],[Ingresos]]-Tabla1[[#This Row],[Gastos]]</f>
        <v>607.32000000000005</v>
      </c>
      <c r="H519" s="13">
        <f>Tabla1[[#This Row],[Beneficio]]/Tabla1[[#This Row],[Ingresos]]</f>
        <v>0.44444444444444448</v>
      </c>
    </row>
    <row r="520" spans="1:8" x14ac:dyDescent="0.35">
      <c r="A520" s="2">
        <v>43439</v>
      </c>
      <c r="B520" t="s">
        <v>7</v>
      </c>
      <c r="C520" t="s">
        <v>13</v>
      </c>
      <c r="D520" t="s">
        <v>19</v>
      </c>
      <c r="E520" s="7">
        <v>193411.35450000002</v>
      </c>
      <c r="F520" s="7">
        <v>189618.97499999998</v>
      </c>
      <c r="G520" s="8">
        <f>Tabla1[[#This Row],[Ingresos]]-Tabla1[[#This Row],[Gastos]]</f>
        <v>3792.3795000000391</v>
      </c>
      <c r="H520" s="13">
        <f>Tabla1[[#This Row],[Beneficio]]/Tabla1[[#This Row],[Ingresos]]</f>
        <v>1.9607843137255103E-2</v>
      </c>
    </row>
    <row r="521" spans="1:8" x14ac:dyDescent="0.35">
      <c r="A521" s="2">
        <v>43441</v>
      </c>
      <c r="B521" t="s">
        <v>8</v>
      </c>
      <c r="C521" t="s">
        <v>43</v>
      </c>
      <c r="D521" t="s">
        <v>18</v>
      </c>
      <c r="E521" s="7">
        <v>16022.641319999999</v>
      </c>
      <c r="F521" s="7">
        <v>12262.225499999999</v>
      </c>
      <c r="G521" s="8">
        <f>Tabla1[[#This Row],[Ingresos]]-Tabla1[[#This Row],[Gastos]]</f>
        <v>3760.4158200000002</v>
      </c>
      <c r="H521" s="13">
        <f>Tabla1[[#This Row],[Beneficio]]/Tabla1[[#This Row],[Ingresos]]</f>
        <v>0.23469387755102045</v>
      </c>
    </row>
    <row r="522" spans="1:8" x14ac:dyDescent="0.35">
      <c r="A522" s="2">
        <v>43443</v>
      </c>
      <c r="B522" t="s">
        <v>7</v>
      </c>
      <c r="C522" t="s">
        <v>10</v>
      </c>
      <c r="D522" t="s">
        <v>15</v>
      </c>
      <c r="E522" s="7">
        <v>22026.090240000001</v>
      </c>
      <c r="F522" s="7">
        <v>16498.944</v>
      </c>
      <c r="G522" s="8">
        <f>Tabla1[[#This Row],[Ingresos]]-Tabla1[[#This Row],[Gastos]]</f>
        <v>5527.1462400000019</v>
      </c>
      <c r="H522" s="13">
        <f>Tabla1[[#This Row],[Beneficio]]/Tabla1[[#This Row],[Ingresos]]</f>
        <v>0.25093632958801504</v>
      </c>
    </row>
    <row r="523" spans="1:8" x14ac:dyDescent="0.35">
      <c r="A523" s="2">
        <v>43443</v>
      </c>
      <c r="B523" t="s">
        <v>6</v>
      </c>
      <c r="C523" t="s">
        <v>43</v>
      </c>
      <c r="D523" t="s">
        <v>17</v>
      </c>
      <c r="E523" s="7">
        <v>20773.6515</v>
      </c>
      <c r="F523" s="7">
        <v>12219.795</v>
      </c>
      <c r="G523" s="8">
        <f>Tabla1[[#This Row],[Ingresos]]-Tabla1[[#This Row],[Gastos]]</f>
        <v>8553.8564999999999</v>
      </c>
      <c r="H523" s="13">
        <f>Tabla1[[#This Row],[Beneficio]]/Tabla1[[#This Row],[Ingresos]]</f>
        <v>0.41176470588235292</v>
      </c>
    </row>
    <row r="524" spans="1:8" x14ac:dyDescent="0.35">
      <c r="A524" s="2">
        <v>43443</v>
      </c>
      <c r="B524" t="s">
        <v>5</v>
      </c>
      <c r="C524" t="s">
        <v>43</v>
      </c>
      <c r="D524" t="s">
        <v>19</v>
      </c>
      <c r="E524" s="7">
        <v>332736.67349999998</v>
      </c>
      <c r="F524" s="7">
        <v>291874.27499999997</v>
      </c>
      <c r="G524" s="8">
        <f>Tabla1[[#This Row],[Ingresos]]-Tabla1[[#This Row],[Gastos]]</f>
        <v>40862.39850000001</v>
      </c>
      <c r="H524" s="13">
        <f>Tabla1[[#This Row],[Beneficio]]/Tabla1[[#This Row],[Ingresos]]</f>
        <v>0.12280701754385968</v>
      </c>
    </row>
    <row r="525" spans="1:8" x14ac:dyDescent="0.35">
      <c r="A525" s="2">
        <v>43444</v>
      </c>
      <c r="B525" t="s">
        <v>7</v>
      </c>
      <c r="C525" t="s">
        <v>11</v>
      </c>
      <c r="D525" t="s">
        <v>17</v>
      </c>
      <c r="E525" s="7">
        <v>75271.732199999999</v>
      </c>
      <c r="F525" s="7">
        <v>62827.128000000004</v>
      </c>
      <c r="G525" s="8">
        <f>Tabla1[[#This Row],[Ingresos]]-Tabla1[[#This Row],[Gastos]]</f>
        <v>12444.604199999994</v>
      </c>
      <c r="H525" s="13">
        <f>Tabla1[[#This Row],[Beneficio]]/Tabla1[[#This Row],[Ingresos]]</f>
        <v>0.16532905296950234</v>
      </c>
    </row>
    <row r="526" spans="1:8" x14ac:dyDescent="0.35">
      <c r="A526" s="2">
        <v>43445</v>
      </c>
      <c r="B526" t="s">
        <v>6</v>
      </c>
      <c r="C526" t="s">
        <v>43</v>
      </c>
      <c r="D526" t="s">
        <v>15</v>
      </c>
      <c r="E526" s="7">
        <v>4195.8</v>
      </c>
      <c r="F526" s="7">
        <v>2797.2</v>
      </c>
      <c r="G526" s="8">
        <f>Tabla1[[#This Row],[Ingresos]]-Tabla1[[#This Row],[Gastos]]</f>
        <v>1398.6000000000004</v>
      </c>
      <c r="H526" s="13">
        <f>Tabla1[[#This Row],[Beneficio]]/Tabla1[[#This Row],[Ingresos]]</f>
        <v>0.33333333333333343</v>
      </c>
    </row>
    <row r="527" spans="1:8" x14ac:dyDescent="0.35">
      <c r="A527" s="2">
        <v>43445</v>
      </c>
      <c r="B527" t="s">
        <v>6</v>
      </c>
      <c r="C527" t="s">
        <v>43</v>
      </c>
      <c r="D527" t="s">
        <v>17</v>
      </c>
      <c r="E527" s="7">
        <v>3347.8515000000002</v>
      </c>
      <c r="F527" s="7">
        <v>1859.9175</v>
      </c>
      <c r="G527" s="8">
        <f>Tabla1[[#This Row],[Ingresos]]-Tabla1[[#This Row],[Gastos]]</f>
        <v>1487.9340000000002</v>
      </c>
      <c r="H527" s="13">
        <f>Tabla1[[#This Row],[Beneficio]]/Tabla1[[#This Row],[Ingresos]]</f>
        <v>0.44444444444444448</v>
      </c>
    </row>
    <row r="528" spans="1:8" x14ac:dyDescent="0.35">
      <c r="A528" s="2">
        <v>43447</v>
      </c>
      <c r="B528" t="s">
        <v>7</v>
      </c>
      <c r="C528" t="s">
        <v>13</v>
      </c>
      <c r="D528" t="s">
        <v>19</v>
      </c>
      <c r="E528" s="7">
        <v>144268.42499999999</v>
      </c>
      <c r="F528" s="7">
        <v>126551.24999999999</v>
      </c>
      <c r="G528" s="8">
        <f>Tabla1[[#This Row],[Ingresos]]-Tabla1[[#This Row],[Gastos]]</f>
        <v>17717.175000000003</v>
      </c>
      <c r="H528" s="13">
        <f>Tabla1[[#This Row],[Beneficio]]/Tabla1[[#This Row],[Ingresos]]</f>
        <v>0.12280701754385968</v>
      </c>
    </row>
    <row r="529" spans="1:8" x14ac:dyDescent="0.35">
      <c r="A529" s="2">
        <v>43447</v>
      </c>
      <c r="B529" t="s">
        <v>5</v>
      </c>
      <c r="C529" t="s">
        <v>11</v>
      </c>
      <c r="D529" t="s">
        <v>19</v>
      </c>
      <c r="E529" s="7">
        <v>796810.08959999995</v>
      </c>
      <c r="F529" s="7">
        <v>691675.42499999993</v>
      </c>
      <c r="G529" s="8">
        <f>Tabla1[[#This Row],[Ingresos]]-Tabla1[[#This Row],[Gastos]]</f>
        <v>105134.66460000002</v>
      </c>
      <c r="H529" s="13">
        <f>Tabla1[[#This Row],[Beneficio]]/Tabla1[[#This Row],[Ingresos]]</f>
        <v>0.13194444444444448</v>
      </c>
    </row>
    <row r="530" spans="1:8" x14ac:dyDescent="0.35">
      <c r="A530" s="2">
        <v>43447</v>
      </c>
      <c r="B530" t="s">
        <v>5</v>
      </c>
      <c r="C530" t="s">
        <v>10</v>
      </c>
      <c r="D530" t="s">
        <v>19</v>
      </c>
      <c r="E530" s="7">
        <v>413696.66625000001</v>
      </c>
      <c r="F530" s="7">
        <v>362891.8125</v>
      </c>
      <c r="G530" s="8">
        <f>Tabla1[[#This Row],[Ingresos]]-Tabla1[[#This Row],[Gastos]]</f>
        <v>50804.853750000009</v>
      </c>
      <c r="H530" s="13">
        <f>Tabla1[[#This Row],[Beneficio]]/Tabla1[[#This Row],[Ingresos]]</f>
        <v>0.12280701754385967</v>
      </c>
    </row>
    <row r="531" spans="1:8" x14ac:dyDescent="0.35">
      <c r="A531" s="2">
        <v>43448</v>
      </c>
      <c r="B531" t="s">
        <v>8</v>
      </c>
      <c r="C531" t="s">
        <v>43</v>
      </c>
      <c r="D531" t="s">
        <v>17</v>
      </c>
      <c r="E531" s="7">
        <v>308144.33999999997</v>
      </c>
      <c r="F531" s="7">
        <v>233578.8</v>
      </c>
      <c r="G531" s="8">
        <f>Tabla1[[#This Row],[Ingresos]]-Tabla1[[#This Row],[Gastos]]</f>
        <v>74565.539999999979</v>
      </c>
      <c r="H531" s="13">
        <f>Tabla1[[#This Row],[Beneficio]]/Tabla1[[#This Row],[Ingresos]]</f>
        <v>0.24198250728862969</v>
      </c>
    </row>
    <row r="532" spans="1:8" x14ac:dyDescent="0.35">
      <c r="A532" s="2">
        <v>43448</v>
      </c>
      <c r="B532" t="s">
        <v>9</v>
      </c>
      <c r="C532" t="s">
        <v>12</v>
      </c>
      <c r="D532" t="s">
        <v>17</v>
      </c>
      <c r="E532" s="7">
        <v>58271.534999999996</v>
      </c>
      <c r="F532" s="7">
        <v>47051.549999999996</v>
      </c>
      <c r="G532" s="8">
        <f>Tabla1[[#This Row],[Ingresos]]-Tabla1[[#This Row],[Gastos]]</f>
        <v>11219.985000000001</v>
      </c>
      <c r="H532" s="13">
        <f>Tabla1[[#This Row],[Beneficio]]/Tabla1[[#This Row],[Ingresos]]</f>
        <v>0.19254658385093171</v>
      </c>
    </row>
    <row r="533" spans="1:8" x14ac:dyDescent="0.35">
      <c r="A533" s="2">
        <v>43450</v>
      </c>
      <c r="B533" t="s">
        <v>9</v>
      </c>
      <c r="C533" t="s">
        <v>11</v>
      </c>
      <c r="D533" t="s">
        <v>15</v>
      </c>
      <c r="E533" s="7">
        <v>10871.847</v>
      </c>
      <c r="F533" s="7">
        <v>7878.15</v>
      </c>
      <c r="G533" s="8">
        <f>Tabla1[[#This Row],[Ingresos]]-Tabla1[[#This Row],[Gastos]]</f>
        <v>2993.6970000000001</v>
      </c>
      <c r="H533" s="13">
        <f>Tabla1[[#This Row],[Beneficio]]/Tabla1[[#This Row],[Ingresos]]</f>
        <v>0.27536231884057971</v>
      </c>
    </row>
    <row r="534" spans="1:8" x14ac:dyDescent="0.35">
      <c r="A534" s="2">
        <v>43450</v>
      </c>
      <c r="B534" t="s">
        <v>6</v>
      </c>
      <c r="C534" t="s">
        <v>13</v>
      </c>
      <c r="D534" t="s">
        <v>15</v>
      </c>
      <c r="E534" s="7">
        <v>10539.344969999998</v>
      </c>
      <c r="F534" s="7">
        <v>7637.2065000000011</v>
      </c>
      <c r="G534" s="8">
        <f>Tabla1[[#This Row],[Ingresos]]-Tabla1[[#This Row],[Gastos]]</f>
        <v>2902.1384699999971</v>
      </c>
      <c r="H534" s="13">
        <f>Tabla1[[#This Row],[Beneficio]]/Tabla1[[#This Row],[Ingresos]]</f>
        <v>0.27536231884057949</v>
      </c>
    </row>
    <row r="535" spans="1:8" x14ac:dyDescent="0.35">
      <c r="A535" s="2">
        <v>43450</v>
      </c>
      <c r="B535" t="s">
        <v>9</v>
      </c>
      <c r="C535" t="s">
        <v>10</v>
      </c>
      <c r="D535" t="s">
        <v>16</v>
      </c>
      <c r="E535" s="7">
        <v>84879.627403846156</v>
      </c>
      <c r="F535" s="7">
        <v>75127.5</v>
      </c>
      <c r="G535" s="8">
        <f>Tabla1[[#This Row],[Ingresos]]-Tabla1[[#This Row],[Gastos]]</f>
        <v>9752.1274038461561</v>
      </c>
      <c r="H535" s="13">
        <f>Tabla1[[#This Row],[Beneficio]]/Tabla1[[#This Row],[Ingresos]]</f>
        <v>0.11489361702127662</v>
      </c>
    </row>
    <row r="536" spans="1:8" x14ac:dyDescent="0.35">
      <c r="A536" s="2">
        <v>43450</v>
      </c>
      <c r="B536" t="s">
        <v>8</v>
      </c>
      <c r="C536" t="s">
        <v>43</v>
      </c>
      <c r="D536" t="s">
        <v>16</v>
      </c>
      <c r="E536" s="7">
        <v>92446.078846153847</v>
      </c>
      <c r="F536" s="7">
        <v>85461.263999999981</v>
      </c>
      <c r="G536" s="8">
        <f>Tabla1[[#This Row],[Ingresos]]-Tabla1[[#This Row],[Gastos]]</f>
        <v>6984.8148461538658</v>
      </c>
      <c r="H536" s="13">
        <f>Tabla1[[#This Row],[Beneficio]]/Tabla1[[#This Row],[Ingresos]]</f>
        <v>7.5555555555555765E-2</v>
      </c>
    </row>
    <row r="537" spans="1:8" x14ac:dyDescent="0.35">
      <c r="A537" s="2">
        <v>43450</v>
      </c>
      <c r="B537" t="s">
        <v>8</v>
      </c>
      <c r="C537" t="s">
        <v>10</v>
      </c>
      <c r="D537" t="s">
        <v>17</v>
      </c>
      <c r="E537" s="7">
        <v>128617.65</v>
      </c>
      <c r="F537" s="7">
        <v>100573.2</v>
      </c>
      <c r="G537" s="8">
        <f>Tabla1[[#This Row],[Ingresos]]-Tabla1[[#This Row],[Gastos]]</f>
        <v>28044.449999999997</v>
      </c>
      <c r="H537" s="13">
        <f>Tabla1[[#This Row],[Beneficio]]/Tabla1[[#This Row],[Ingresos]]</f>
        <v>0.21804511278195488</v>
      </c>
    </row>
    <row r="538" spans="1:8" x14ac:dyDescent="0.35">
      <c r="A538" s="2">
        <v>43450</v>
      </c>
      <c r="B538" t="s">
        <v>8</v>
      </c>
      <c r="C538" t="s">
        <v>43</v>
      </c>
      <c r="D538" t="s">
        <v>17</v>
      </c>
      <c r="E538" s="7">
        <v>5547.4593929999992</v>
      </c>
      <c r="F538" s="7">
        <v>4260.7214999999997</v>
      </c>
      <c r="G538" s="8">
        <f>Tabla1[[#This Row],[Ingresos]]-Tabla1[[#This Row],[Gastos]]</f>
        <v>1286.7378929999995</v>
      </c>
      <c r="H538" s="13">
        <f>Tabla1[[#This Row],[Beneficio]]/Tabla1[[#This Row],[Ingresos]]</f>
        <v>0.23195084485407061</v>
      </c>
    </row>
    <row r="539" spans="1:8" x14ac:dyDescent="0.35">
      <c r="A539" s="2">
        <v>43450</v>
      </c>
      <c r="B539" t="s">
        <v>8</v>
      </c>
      <c r="C539" t="s">
        <v>10</v>
      </c>
      <c r="D539" t="s">
        <v>19</v>
      </c>
      <c r="E539" s="7">
        <v>21861.63</v>
      </c>
      <c r="F539" s="7">
        <v>21183.75</v>
      </c>
      <c r="G539" s="8">
        <f>Tabla1[[#This Row],[Ingresos]]-Tabla1[[#This Row],[Gastos]]</f>
        <v>677.88000000000102</v>
      </c>
      <c r="H539" s="13">
        <f>Tabla1[[#This Row],[Beneficio]]/Tabla1[[#This Row],[Ingresos]]</f>
        <v>3.1007751937984541E-2</v>
      </c>
    </row>
    <row r="540" spans="1:8" x14ac:dyDescent="0.35">
      <c r="A540" s="2">
        <v>43451</v>
      </c>
      <c r="B540" t="s">
        <v>9</v>
      </c>
      <c r="C540" t="s">
        <v>12</v>
      </c>
      <c r="D540" t="s">
        <v>19</v>
      </c>
      <c r="E540" s="7">
        <v>105518.2464</v>
      </c>
      <c r="F540" s="7">
        <v>94550.399999999994</v>
      </c>
      <c r="G540" s="8">
        <f>Tabla1[[#This Row],[Ingresos]]-Tabla1[[#This Row],[Gastos]]</f>
        <v>10967.846400000009</v>
      </c>
      <c r="H540" s="13">
        <f>Tabla1[[#This Row],[Beneficio]]/Tabla1[[#This Row],[Ingresos]]</f>
        <v>0.1039426523297492</v>
      </c>
    </row>
    <row r="541" spans="1:8" x14ac:dyDescent="0.35">
      <c r="A541" s="2">
        <v>43452</v>
      </c>
      <c r="B541" t="s">
        <v>6</v>
      </c>
      <c r="C541" t="s">
        <v>13</v>
      </c>
      <c r="D541" t="s">
        <v>15</v>
      </c>
      <c r="E541" s="7">
        <v>4787.1625725000004</v>
      </c>
      <c r="F541" s="7">
        <v>3223.6785</v>
      </c>
      <c r="G541" s="8">
        <f>Tabla1[[#This Row],[Ingresos]]-Tabla1[[#This Row],[Gastos]]</f>
        <v>1563.4840725000004</v>
      </c>
      <c r="H541" s="13">
        <f>Tabla1[[#This Row],[Beneficio]]/Tabla1[[#This Row],[Ingresos]]</f>
        <v>0.32659932659932667</v>
      </c>
    </row>
    <row r="542" spans="1:8" x14ac:dyDescent="0.35">
      <c r="A542" s="2">
        <v>43453</v>
      </c>
      <c r="B542" t="s">
        <v>7</v>
      </c>
      <c r="C542" t="s">
        <v>12</v>
      </c>
      <c r="D542" t="s">
        <v>16</v>
      </c>
      <c r="E542" s="7">
        <v>95504.0625</v>
      </c>
      <c r="F542" s="7">
        <v>81081</v>
      </c>
      <c r="G542" s="8">
        <f>Tabla1[[#This Row],[Ingresos]]-Tabla1[[#This Row],[Gastos]]</f>
        <v>14423.0625</v>
      </c>
      <c r="H542" s="13">
        <f>Tabla1[[#This Row],[Beneficio]]/Tabla1[[#This Row],[Ingresos]]</f>
        <v>0.15102040816326531</v>
      </c>
    </row>
    <row r="543" spans="1:8" x14ac:dyDescent="0.35">
      <c r="A543" s="2">
        <v>43453</v>
      </c>
      <c r="B543" t="s">
        <v>5</v>
      </c>
      <c r="C543" t="s">
        <v>10</v>
      </c>
      <c r="D543" t="s">
        <v>17</v>
      </c>
      <c r="E543" s="7">
        <v>4619.9160000000002</v>
      </c>
      <c r="F543" s="7">
        <v>3666.6</v>
      </c>
      <c r="G543" s="8">
        <f>Tabla1[[#This Row],[Ingresos]]-Tabla1[[#This Row],[Gastos]]</f>
        <v>953.31600000000026</v>
      </c>
      <c r="H543" s="13">
        <f>Tabla1[[#This Row],[Beneficio]]/Tabla1[[#This Row],[Ingresos]]</f>
        <v>0.20634920634920639</v>
      </c>
    </row>
    <row r="544" spans="1:8" x14ac:dyDescent="0.35">
      <c r="A544" s="2">
        <v>43454</v>
      </c>
      <c r="B544" t="s">
        <v>6</v>
      </c>
      <c r="C544" t="s">
        <v>12</v>
      </c>
      <c r="D544" t="s">
        <v>16</v>
      </c>
      <c r="E544" s="7">
        <v>94323.366778846132</v>
      </c>
      <c r="F544" s="7">
        <v>83486.213999999993</v>
      </c>
      <c r="G544" s="8">
        <f>Tabla1[[#This Row],[Ingresos]]-Tabla1[[#This Row],[Gastos]]</f>
        <v>10837.152778846139</v>
      </c>
      <c r="H544" s="13">
        <f>Tabla1[[#This Row],[Beneficio]]/Tabla1[[#This Row],[Ingresos]]</f>
        <v>0.11489361702127647</v>
      </c>
    </row>
    <row r="545" spans="1:8" x14ac:dyDescent="0.35">
      <c r="A545" s="2">
        <v>43454</v>
      </c>
      <c r="B545" t="s">
        <v>8</v>
      </c>
      <c r="C545" t="s">
        <v>10</v>
      </c>
      <c r="D545" t="s">
        <v>17</v>
      </c>
      <c r="E545" s="7">
        <v>28002.385152000003</v>
      </c>
      <c r="F545" s="7">
        <v>20835.107999999997</v>
      </c>
      <c r="G545" s="8">
        <f>Tabla1[[#This Row],[Ingresos]]-Tabla1[[#This Row],[Gastos]]</f>
        <v>7167.277152000006</v>
      </c>
      <c r="H545" s="13">
        <f>Tabla1[[#This Row],[Beneficio]]/Tabla1[[#This Row],[Ingresos]]</f>
        <v>0.25595238095238115</v>
      </c>
    </row>
    <row r="546" spans="1:8" x14ac:dyDescent="0.35">
      <c r="A546" s="2">
        <v>43454</v>
      </c>
      <c r="B546" t="s">
        <v>7</v>
      </c>
      <c r="C546" t="s">
        <v>12</v>
      </c>
      <c r="D546" t="s">
        <v>19</v>
      </c>
      <c r="E546" s="7">
        <v>456182.25975000008</v>
      </c>
      <c r="F546" s="7">
        <v>436956.1875</v>
      </c>
      <c r="G546" s="8">
        <f>Tabla1[[#This Row],[Ingresos]]-Tabla1[[#This Row],[Gastos]]</f>
        <v>19226.072250000085</v>
      </c>
      <c r="H546" s="13">
        <f>Tabla1[[#This Row],[Beneficio]]/Tabla1[[#This Row],[Ingresos]]</f>
        <v>4.2145593869731976E-2</v>
      </c>
    </row>
    <row r="547" spans="1:8" x14ac:dyDescent="0.35">
      <c r="A547" s="2">
        <v>43455</v>
      </c>
      <c r="B547" t="s">
        <v>7</v>
      </c>
      <c r="C547" t="s">
        <v>11</v>
      </c>
      <c r="D547" t="s">
        <v>17</v>
      </c>
      <c r="E547" s="7">
        <v>2408.8427999999999</v>
      </c>
      <c r="F547" s="7">
        <v>1400.49</v>
      </c>
      <c r="G547" s="8">
        <f>Tabla1[[#This Row],[Ingresos]]-Tabla1[[#This Row],[Gastos]]</f>
        <v>1008.3527999999999</v>
      </c>
      <c r="H547" s="13">
        <f>Tabla1[[#This Row],[Beneficio]]/Tabla1[[#This Row],[Ingresos]]</f>
        <v>0.41860465116279066</v>
      </c>
    </row>
    <row r="548" spans="1:8" x14ac:dyDescent="0.35">
      <c r="A548" s="2">
        <v>43455</v>
      </c>
      <c r="B548" t="s">
        <v>5</v>
      </c>
      <c r="C548" t="s">
        <v>10</v>
      </c>
      <c r="D548" t="s">
        <v>18</v>
      </c>
      <c r="E548" s="7">
        <v>46985.242751999998</v>
      </c>
      <c r="F548" s="7">
        <v>40975.502399999998</v>
      </c>
      <c r="G548" s="8">
        <f>Tabla1[[#This Row],[Ingresos]]-Tabla1[[#This Row],[Gastos]]</f>
        <v>6009.7403520000007</v>
      </c>
      <c r="H548" s="13">
        <f>Tabla1[[#This Row],[Beneficio]]/Tabla1[[#This Row],[Ingresos]]</f>
        <v>0.12790697674418608</v>
      </c>
    </row>
    <row r="549" spans="1:8" x14ac:dyDescent="0.35">
      <c r="A549" s="2">
        <v>43456</v>
      </c>
      <c r="B549" t="s">
        <v>6</v>
      </c>
      <c r="C549" t="s">
        <v>12</v>
      </c>
      <c r="D549" t="s">
        <v>17</v>
      </c>
      <c r="E549" s="7">
        <v>14842.547999999999</v>
      </c>
      <c r="F549" s="7">
        <v>8530.1999999999989</v>
      </c>
      <c r="G549" s="8">
        <f>Tabla1[[#This Row],[Ingresos]]-Tabla1[[#This Row],[Gastos]]</f>
        <v>6312.348</v>
      </c>
      <c r="H549" s="13">
        <f>Tabla1[[#This Row],[Beneficio]]/Tabla1[[#This Row],[Ingresos]]</f>
        <v>0.42528735632183912</v>
      </c>
    </row>
    <row r="550" spans="1:8" x14ac:dyDescent="0.35">
      <c r="A550" s="2">
        <v>43457</v>
      </c>
      <c r="B550" t="s">
        <v>6</v>
      </c>
      <c r="C550" t="s">
        <v>12</v>
      </c>
      <c r="D550" t="s">
        <v>17</v>
      </c>
      <c r="E550" s="7">
        <v>2428.5100454999997</v>
      </c>
      <c r="F550" s="7">
        <v>1752.17175</v>
      </c>
      <c r="G550" s="8">
        <f>Tabla1[[#This Row],[Ingresos]]-Tabla1[[#This Row],[Gastos]]</f>
        <v>676.33829549999973</v>
      </c>
      <c r="H550" s="13">
        <f>Tabla1[[#This Row],[Beneficio]]/Tabla1[[#This Row],[Ingresos]]</f>
        <v>0.27849927849927841</v>
      </c>
    </row>
    <row r="551" spans="1:8" x14ac:dyDescent="0.35">
      <c r="A551" s="2">
        <v>43457</v>
      </c>
      <c r="B551" t="s">
        <v>5</v>
      </c>
      <c r="C551" t="s">
        <v>43</v>
      </c>
      <c r="D551" t="s">
        <v>19</v>
      </c>
      <c r="E551" s="7">
        <v>801696.04200000002</v>
      </c>
      <c r="F551" s="7">
        <v>776837.25</v>
      </c>
      <c r="G551" s="8">
        <f>Tabla1[[#This Row],[Ingresos]]-Tabla1[[#This Row],[Gastos]]</f>
        <v>24858.792000000016</v>
      </c>
      <c r="H551" s="13">
        <f>Tabla1[[#This Row],[Beneficio]]/Tabla1[[#This Row],[Ingresos]]</f>
        <v>3.1007751937984517E-2</v>
      </c>
    </row>
    <row r="552" spans="1:8" x14ac:dyDescent="0.35">
      <c r="A552" s="2">
        <v>43458</v>
      </c>
      <c r="B552" t="s">
        <v>5</v>
      </c>
      <c r="C552" t="s">
        <v>10</v>
      </c>
      <c r="D552" t="s">
        <v>15</v>
      </c>
      <c r="E552" s="7">
        <v>9910.4512500000001</v>
      </c>
      <c r="F552" s="7">
        <v>7341.0749999999998</v>
      </c>
      <c r="G552" s="8">
        <f>Tabla1[[#This Row],[Ingresos]]-Tabla1[[#This Row],[Gastos]]</f>
        <v>2569.3762500000003</v>
      </c>
      <c r="H552" s="13">
        <f>Tabla1[[#This Row],[Beneficio]]/Tabla1[[#This Row],[Ingresos]]</f>
        <v>0.2592592592592593</v>
      </c>
    </row>
    <row r="553" spans="1:8" x14ac:dyDescent="0.35">
      <c r="A553" s="2">
        <v>43459</v>
      </c>
      <c r="B553" t="s">
        <v>6</v>
      </c>
      <c r="C553" t="s">
        <v>10</v>
      </c>
      <c r="D553" t="s">
        <v>16</v>
      </c>
      <c r="E553" s="7">
        <v>127977.07932692306</v>
      </c>
      <c r="F553" s="7">
        <v>119636.99999999999</v>
      </c>
      <c r="G553" s="8">
        <f>Tabla1[[#This Row],[Ingresos]]-Tabla1[[#This Row],[Gastos]]</f>
        <v>8340.079326923078</v>
      </c>
      <c r="H553" s="13">
        <f>Tabla1[[#This Row],[Beneficio]]/Tabla1[[#This Row],[Ingresos]]</f>
        <v>6.5168539325842711E-2</v>
      </c>
    </row>
    <row r="554" spans="1:8" x14ac:dyDescent="0.35">
      <c r="A554" s="2">
        <v>43459</v>
      </c>
      <c r="B554" t="s">
        <v>9</v>
      </c>
      <c r="C554" t="s">
        <v>10</v>
      </c>
      <c r="D554" t="s">
        <v>17</v>
      </c>
      <c r="E554" s="7">
        <v>10227.107520000001</v>
      </c>
      <c r="F554" s="7">
        <v>8396.64</v>
      </c>
      <c r="G554" s="8">
        <f>Tabla1[[#This Row],[Ingresos]]-Tabla1[[#This Row],[Gastos]]</f>
        <v>1830.467520000002</v>
      </c>
      <c r="H554" s="13">
        <f>Tabla1[[#This Row],[Beneficio]]/Tabla1[[#This Row],[Ingresos]]</f>
        <v>0.17898193760262743</v>
      </c>
    </row>
    <row r="555" spans="1:8" x14ac:dyDescent="0.35">
      <c r="A555" s="2">
        <v>43459</v>
      </c>
      <c r="B555" t="s">
        <v>9</v>
      </c>
      <c r="C555" t="s">
        <v>12</v>
      </c>
      <c r="D555" t="s">
        <v>19</v>
      </c>
      <c r="E555" s="7">
        <v>225629.14500000002</v>
      </c>
      <c r="F555" s="7">
        <v>188024.28749999998</v>
      </c>
      <c r="G555" s="8">
        <f>Tabla1[[#This Row],[Ingresos]]-Tabla1[[#This Row],[Gastos]]</f>
        <v>37604.857500000042</v>
      </c>
      <c r="H555" s="13">
        <f>Tabla1[[#This Row],[Beneficio]]/Tabla1[[#This Row],[Ingresos]]</f>
        <v>0.16666666666666685</v>
      </c>
    </row>
    <row r="556" spans="1:8" x14ac:dyDescent="0.35">
      <c r="A556" s="2">
        <v>43460</v>
      </c>
      <c r="B556" t="s">
        <v>6</v>
      </c>
      <c r="C556" t="s">
        <v>11</v>
      </c>
      <c r="D556" t="s">
        <v>17</v>
      </c>
      <c r="E556" s="7">
        <v>192175.67249999999</v>
      </c>
      <c r="F556" s="7">
        <v>147174.29999999999</v>
      </c>
      <c r="G556" s="8">
        <f>Tabla1[[#This Row],[Ingresos]]-Tabla1[[#This Row],[Gastos]]</f>
        <v>45001.372499999998</v>
      </c>
      <c r="H556" s="13">
        <f>Tabla1[[#This Row],[Beneficio]]/Tabla1[[#This Row],[Ingresos]]</f>
        <v>0.2341678939617084</v>
      </c>
    </row>
    <row r="557" spans="1:8" x14ac:dyDescent="0.35">
      <c r="A557" s="2">
        <v>43462</v>
      </c>
      <c r="B557" t="s">
        <v>7</v>
      </c>
      <c r="C557" t="s">
        <v>10</v>
      </c>
      <c r="D557" t="s">
        <v>17</v>
      </c>
      <c r="E557" s="7">
        <v>790.22789999999986</v>
      </c>
      <c r="F557" s="7">
        <v>570.15</v>
      </c>
      <c r="G557" s="8">
        <f>Tabla1[[#This Row],[Ingresos]]-Tabla1[[#This Row],[Gastos]]</f>
        <v>220.07789999999989</v>
      </c>
      <c r="H557" s="13">
        <f>Tabla1[[#This Row],[Beneficio]]/Tabla1[[#This Row],[Ingresos]]</f>
        <v>0.27849927849927841</v>
      </c>
    </row>
    <row r="558" spans="1:8" x14ac:dyDescent="0.35">
      <c r="A558" s="2">
        <v>43462</v>
      </c>
      <c r="B558" t="s">
        <v>6</v>
      </c>
      <c r="C558" t="s">
        <v>13</v>
      </c>
      <c r="D558" t="s">
        <v>17</v>
      </c>
      <c r="E558" s="7">
        <v>310845.46499999997</v>
      </c>
      <c r="F558" s="7">
        <v>235626.3</v>
      </c>
      <c r="G558" s="8">
        <f>Tabla1[[#This Row],[Ingresos]]-Tabla1[[#This Row],[Gastos]]</f>
        <v>75219.164999999979</v>
      </c>
      <c r="H558" s="13">
        <f>Tabla1[[#This Row],[Beneficio]]/Tabla1[[#This Row],[Ingresos]]</f>
        <v>0.24198250728862969</v>
      </c>
    </row>
    <row r="559" spans="1:8" x14ac:dyDescent="0.35">
      <c r="A559" s="2">
        <v>43462</v>
      </c>
      <c r="B559" t="s">
        <v>5</v>
      </c>
      <c r="C559" t="s">
        <v>11</v>
      </c>
      <c r="D559" t="s">
        <v>19</v>
      </c>
      <c r="E559" s="7">
        <v>195104.69999999998</v>
      </c>
      <c r="F559" s="7">
        <v>180652.5</v>
      </c>
      <c r="G559" s="8">
        <f>Tabla1[[#This Row],[Ingresos]]-Tabla1[[#This Row],[Gastos]]</f>
        <v>14452.199999999983</v>
      </c>
      <c r="H559" s="13">
        <f>Tabla1[[#This Row],[Beneficio]]/Tabla1[[#This Row],[Ingresos]]</f>
        <v>7.4074074074073987E-2</v>
      </c>
    </row>
    <row r="560" spans="1:8" x14ac:dyDescent="0.35">
      <c r="A560" s="2">
        <v>43463</v>
      </c>
      <c r="B560" t="s">
        <v>7</v>
      </c>
      <c r="C560" t="s">
        <v>43</v>
      </c>
      <c r="D560" t="s">
        <v>17</v>
      </c>
      <c r="E560" s="7">
        <v>9267.9955830000017</v>
      </c>
      <c r="F560" s="7">
        <v>7697.6707500000002</v>
      </c>
      <c r="G560" s="8">
        <f>Tabla1[[#This Row],[Ingresos]]-Tabla1[[#This Row],[Gastos]]</f>
        <v>1570.3248330000015</v>
      </c>
      <c r="H560" s="13">
        <f>Tabla1[[#This Row],[Beneficio]]/Tabla1[[#This Row],[Ingresos]]</f>
        <v>0.16943521594684399</v>
      </c>
    </row>
    <row r="561" spans="1:8" x14ac:dyDescent="0.35">
      <c r="A561" s="2">
        <v>43464</v>
      </c>
      <c r="B561" t="s">
        <v>7</v>
      </c>
      <c r="C561" t="s">
        <v>10</v>
      </c>
      <c r="D561" t="s">
        <v>15</v>
      </c>
      <c r="E561" s="7">
        <v>7598.7449999999999</v>
      </c>
      <c r="F561" s="7">
        <v>5890.5</v>
      </c>
      <c r="G561" s="8">
        <f>Tabla1[[#This Row],[Ingresos]]-Tabla1[[#This Row],[Gastos]]</f>
        <v>1708.2449999999999</v>
      </c>
      <c r="H561" s="13">
        <f>Tabla1[[#This Row],[Beneficio]]/Tabla1[[#This Row],[Ingresos]]</f>
        <v>0.22480620155038758</v>
      </c>
    </row>
    <row r="562" spans="1:8" x14ac:dyDescent="0.35">
      <c r="A562" s="2">
        <v>43464</v>
      </c>
      <c r="B562" t="s">
        <v>5</v>
      </c>
      <c r="C562" t="s">
        <v>13</v>
      </c>
      <c r="D562" t="s">
        <v>18</v>
      </c>
      <c r="E562" s="7">
        <v>6953.0075999999999</v>
      </c>
      <c r="F562" s="7">
        <v>5267.43</v>
      </c>
      <c r="G562" s="8">
        <f>Tabla1[[#This Row],[Ingresos]]-Tabla1[[#This Row],[Gastos]]</f>
        <v>1685.5775999999996</v>
      </c>
      <c r="H562" s="13">
        <f>Tabla1[[#This Row],[Beneficio]]/Tabla1[[#This Row],[Ingresos]]</f>
        <v>0.24242424242424238</v>
      </c>
    </row>
    <row r="563" spans="1:8" x14ac:dyDescent="0.35">
      <c r="A563" s="2">
        <v>43465</v>
      </c>
      <c r="B563" t="s">
        <v>8</v>
      </c>
      <c r="C563" t="s">
        <v>13</v>
      </c>
      <c r="D563" t="s">
        <v>15</v>
      </c>
      <c r="E563" s="7">
        <v>9346.0499999999993</v>
      </c>
      <c r="F563" s="7">
        <v>7244.9999999999991</v>
      </c>
      <c r="G563" s="8">
        <f>Tabla1[[#This Row],[Ingresos]]-Tabla1[[#This Row],[Gastos]]</f>
        <v>2101.0500000000002</v>
      </c>
      <c r="H563" s="13">
        <f>Tabla1[[#This Row],[Beneficio]]/Tabla1[[#This Row],[Ingresos]]</f>
        <v>0.22480620155038764</v>
      </c>
    </row>
    <row r="564" spans="1:8" x14ac:dyDescent="0.35">
      <c r="A564" s="2">
        <v>43466</v>
      </c>
      <c r="B564" t="s">
        <v>6</v>
      </c>
      <c r="C564" t="s">
        <v>11</v>
      </c>
      <c r="D564" t="s">
        <v>16</v>
      </c>
      <c r="E564" s="7">
        <v>46555.889423076915</v>
      </c>
      <c r="F564" s="7">
        <v>45570</v>
      </c>
      <c r="G564" s="8">
        <f>Tabla1[[#This Row],[Ingresos]]-Tabla1[[#This Row],[Gastos]]</f>
        <v>985.88942307691468</v>
      </c>
      <c r="H564" s="13">
        <f>Tabla1[[#This Row],[Beneficio]]/Tabla1[[#This Row],[Ingresos]]</f>
        <v>2.1176470588235116E-2</v>
      </c>
    </row>
    <row r="565" spans="1:8" x14ac:dyDescent="0.35">
      <c r="A565" s="2">
        <v>43466</v>
      </c>
      <c r="B565" t="s">
        <v>9</v>
      </c>
      <c r="C565" t="s">
        <v>12</v>
      </c>
      <c r="D565" t="s">
        <v>19</v>
      </c>
      <c r="E565" s="7">
        <v>326922.75</v>
      </c>
      <c r="F565" s="7">
        <v>320512.5</v>
      </c>
      <c r="G565" s="8">
        <f>Tabla1[[#This Row],[Ingresos]]-Tabla1[[#This Row],[Gastos]]</f>
        <v>6410.25</v>
      </c>
      <c r="H565" s="13">
        <f>Tabla1[[#This Row],[Beneficio]]/Tabla1[[#This Row],[Ingresos]]</f>
        <v>1.9607843137254902E-2</v>
      </c>
    </row>
    <row r="566" spans="1:8" x14ac:dyDescent="0.35">
      <c r="A566" s="2">
        <v>43466</v>
      </c>
      <c r="B566" t="s">
        <v>6</v>
      </c>
      <c r="C566" t="s">
        <v>43</v>
      </c>
      <c r="D566" t="s">
        <v>18</v>
      </c>
      <c r="E566" s="7">
        <v>33732.467999999993</v>
      </c>
      <c r="F566" s="7">
        <v>25299.350999999999</v>
      </c>
      <c r="G566" s="8">
        <f>Tabla1[[#This Row],[Ingresos]]-Tabla1[[#This Row],[Gastos]]</f>
        <v>8433.1169999999947</v>
      </c>
      <c r="H566" s="13">
        <f>Tabla1[[#This Row],[Beneficio]]/Tabla1[[#This Row],[Ingresos]]</f>
        <v>0.24999999999999989</v>
      </c>
    </row>
    <row r="567" spans="1:8" x14ac:dyDescent="0.35">
      <c r="A567" s="2">
        <v>43467</v>
      </c>
      <c r="B567" t="s">
        <v>8</v>
      </c>
      <c r="C567" t="s">
        <v>13</v>
      </c>
      <c r="D567" t="s">
        <v>17</v>
      </c>
      <c r="E567" s="7">
        <v>9236.8499999999985</v>
      </c>
      <c r="F567" s="7">
        <v>4861.5</v>
      </c>
      <c r="G567" s="8">
        <f>Tabla1[[#This Row],[Ingresos]]-Tabla1[[#This Row],[Gastos]]</f>
        <v>4375.3499999999985</v>
      </c>
      <c r="H567" s="13">
        <f>Tabla1[[#This Row],[Beneficio]]/Tabla1[[#This Row],[Ingresos]]</f>
        <v>0.47368421052631571</v>
      </c>
    </row>
    <row r="568" spans="1:8" x14ac:dyDescent="0.35">
      <c r="A568" s="2">
        <v>43467</v>
      </c>
      <c r="B568" t="s">
        <v>9</v>
      </c>
      <c r="C568" t="s">
        <v>12</v>
      </c>
      <c r="D568" t="s">
        <v>17</v>
      </c>
      <c r="E568" s="7">
        <v>348270.24399999995</v>
      </c>
      <c r="F568" s="7">
        <v>300831.44</v>
      </c>
      <c r="G568" s="8">
        <f>Tabla1[[#This Row],[Ingresos]]-Tabla1[[#This Row],[Gastos]]</f>
        <v>47438.803999999946</v>
      </c>
      <c r="H568" s="13">
        <f>Tabla1[[#This Row],[Beneficio]]/Tabla1[[#This Row],[Ingresos]]</f>
        <v>0.13621262458471747</v>
      </c>
    </row>
    <row r="569" spans="1:8" x14ac:dyDescent="0.35">
      <c r="A569" s="2">
        <v>43467</v>
      </c>
      <c r="B569" t="s">
        <v>6</v>
      </c>
      <c r="C569" t="s">
        <v>10</v>
      </c>
      <c r="D569" t="s">
        <v>19</v>
      </c>
      <c r="E569" s="7">
        <v>455076.46799999999</v>
      </c>
      <c r="F569" s="7">
        <v>383061</v>
      </c>
      <c r="G569" s="8">
        <f>Tabla1[[#This Row],[Ingresos]]-Tabla1[[#This Row],[Gastos]]</f>
        <v>72015.467999999993</v>
      </c>
      <c r="H569" s="13">
        <f>Tabla1[[#This Row],[Beneficio]]/Tabla1[[#This Row],[Ingresos]]</f>
        <v>0.15824915824915825</v>
      </c>
    </row>
    <row r="570" spans="1:8" x14ac:dyDescent="0.35">
      <c r="A570" s="2">
        <v>43467</v>
      </c>
      <c r="B570" t="s">
        <v>7</v>
      </c>
      <c r="C570" t="s">
        <v>10</v>
      </c>
      <c r="D570" t="s">
        <v>18</v>
      </c>
      <c r="E570" s="7">
        <v>4003.9234199999996</v>
      </c>
      <c r="F570" s="7">
        <v>3228.9705000000004</v>
      </c>
      <c r="G570" s="8">
        <f>Tabla1[[#This Row],[Ingresos]]-Tabla1[[#This Row],[Gastos]]</f>
        <v>774.95291999999927</v>
      </c>
      <c r="H570" s="13">
        <f>Tabla1[[#This Row],[Beneficio]]/Tabla1[[#This Row],[Ingresos]]</f>
        <v>0.19354838709677402</v>
      </c>
    </row>
    <row r="571" spans="1:8" x14ac:dyDescent="0.35">
      <c r="A571" s="2">
        <v>43469</v>
      </c>
      <c r="B571" t="s">
        <v>8</v>
      </c>
      <c r="C571" t="s">
        <v>10</v>
      </c>
      <c r="D571" t="s">
        <v>17</v>
      </c>
      <c r="E571" s="7">
        <v>6705.5519999999997</v>
      </c>
      <c r="F571" s="7">
        <v>4989.25</v>
      </c>
      <c r="G571" s="8">
        <f>Tabla1[[#This Row],[Ingresos]]-Tabla1[[#This Row],[Gastos]]</f>
        <v>1716.3019999999997</v>
      </c>
      <c r="H571" s="13">
        <f>Tabla1[[#This Row],[Beneficio]]/Tabla1[[#This Row],[Ingresos]]</f>
        <v>0.25595238095238093</v>
      </c>
    </row>
    <row r="572" spans="1:8" x14ac:dyDescent="0.35">
      <c r="A572" s="2">
        <v>43469</v>
      </c>
      <c r="B572" t="s">
        <v>5</v>
      </c>
      <c r="C572" t="s">
        <v>10</v>
      </c>
      <c r="D572" t="s">
        <v>17</v>
      </c>
      <c r="E572" s="7">
        <v>657964.46624999994</v>
      </c>
      <c r="F572" s="7">
        <v>537113.85</v>
      </c>
      <c r="G572" s="8">
        <f>Tabla1[[#This Row],[Ingresos]]-Tabla1[[#This Row],[Gastos]]</f>
        <v>120850.61624999996</v>
      </c>
      <c r="H572" s="13">
        <f>Tabla1[[#This Row],[Beneficio]]/Tabla1[[#This Row],[Ingresos]]</f>
        <v>0.18367346938775506</v>
      </c>
    </row>
    <row r="573" spans="1:8" x14ac:dyDescent="0.35">
      <c r="A573" s="2">
        <v>43472</v>
      </c>
      <c r="B573" t="s">
        <v>6</v>
      </c>
      <c r="C573" t="s">
        <v>12</v>
      </c>
      <c r="D573" t="s">
        <v>17</v>
      </c>
      <c r="E573" s="7">
        <v>2697.5724999999998</v>
      </c>
      <c r="F573" s="7">
        <v>2028.2499999999998</v>
      </c>
      <c r="G573" s="8">
        <f>Tabla1[[#This Row],[Ingresos]]-Tabla1[[#This Row],[Gastos]]</f>
        <v>669.32249999999999</v>
      </c>
      <c r="H573" s="13">
        <f>Tabla1[[#This Row],[Beneficio]]/Tabla1[[#This Row],[Ingresos]]</f>
        <v>0.24812030075187971</v>
      </c>
    </row>
    <row r="574" spans="1:8" x14ac:dyDescent="0.35">
      <c r="A574" s="2">
        <v>43473</v>
      </c>
      <c r="B574" t="s">
        <v>7</v>
      </c>
      <c r="C574" t="s">
        <v>10</v>
      </c>
      <c r="D574" t="s">
        <v>16</v>
      </c>
      <c r="E574" s="7">
        <v>95776.153846153829</v>
      </c>
      <c r="F574" s="7">
        <v>90552</v>
      </c>
      <c r="G574" s="8">
        <f>Tabla1[[#This Row],[Ingresos]]-Tabla1[[#This Row],[Gastos]]</f>
        <v>5224.1538461538294</v>
      </c>
      <c r="H574" s="13">
        <f>Tabla1[[#This Row],[Beneficio]]/Tabla1[[#This Row],[Ingresos]]</f>
        <v>5.4545454545454376E-2</v>
      </c>
    </row>
    <row r="575" spans="1:8" x14ac:dyDescent="0.35">
      <c r="A575" s="2">
        <v>43474</v>
      </c>
      <c r="B575" t="s">
        <v>6</v>
      </c>
      <c r="C575" t="s">
        <v>11</v>
      </c>
      <c r="D575" t="s">
        <v>16</v>
      </c>
      <c r="E575" s="7">
        <v>213856.73076923075</v>
      </c>
      <c r="F575" s="7">
        <v>137683</v>
      </c>
      <c r="G575" s="8">
        <f>Tabla1[[#This Row],[Ingresos]]-Tabla1[[#This Row],[Gastos]]</f>
        <v>76173.730769230751</v>
      </c>
      <c r="H575" s="13">
        <f>Tabla1[[#This Row],[Beneficio]]/Tabla1[[#This Row],[Ingresos]]</f>
        <v>0.35619047619047611</v>
      </c>
    </row>
    <row r="576" spans="1:8" x14ac:dyDescent="0.35">
      <c r="A576" s="2">
        <v>43474</v>
      </c>
      <c r="B576" t="s">
        <v>6</v>
      </c>
      <c r="C576" t="s">
        <v>12</v>
      </c>
      <c r="D576" t="s">
        <v>17</v>
      </c>
      <c r="E576" s="7">
        <v>9430.9599999999991</v>
      </c>
      <c r="F576" s="7">
        <v>5358.5</v>
      </c>
      <c r="G576" s="8">
        <f>Tabla1[[#This Row],[Ingresos]]-Tabla1[[#This Row],[Gastos]]</f>
        <v>4072.4599999999991</v>
      </c>
      <c r="H576" s="13">
        <f>Tabla1[[#This Row],[Beneficio]]/Tabla1[[#This Row],[Ingresos]]</f>
        <v>0.43181818181818177</v>
      </c>
    </row>
    <row r="577" spans="1:8" x14ac:dyDescent="0.35">
      <c r="A577" s="2">
        <v>43474</v>
      </c>
      <c r="B577" t="s">
        <v>5</v>
      </c>
      <c r="C577" t="s">
        <v>43</v>
      </c>
      <c r="D577" t="s">
        <v>18</v>
      </c>
      <c r="E577" s="7">
        <v>1859.8986</v>
      </c>
      <c r="F577" s="7">
        <v>1641.0869999999998</v>
      </c>
      <c r="G577" s="8">
        <f>Tabla1[[#This Row],[Ingresos]]-Tabla1[[#This Row],[Gastos]]</f>
        <v>218.81160000000023</v>
      </c>
      <c r="H577" s="13">
        <f>Tabla1[[#This Row],[Beneficio]]/Tabla1[[#This Row],[Ingresos]]</f>
        <v>0.11764705882352954</v>
      </c>
    </row>
    <row r="578" spans="1:8" x14ac:dyDescent="0.35">
      <c r="A578" s="2">
        <v>43475</v>
      </c>
      <c r="B578" t="s">
        <v>6</v>
      </c>
      <c r="C578" t="s">
        <v>12</v>
      </c>
      <c r="D578" t="s">
        <v>15</v>
      </c>
      <c r="E578" s="7">
        <v>4662</v>
      </c>
      <c r="F578" s="7">
        <v>3108</v>
      </c>
      <c r="G578" s="8">
        <f>Tabla1[[#This Row],[Ingresos]]-Tabla1[[#This Row],[Gastos]]</f>
        <v>1554</v>
      </c>
      <c r="H578" s="13">
        <f>Tabla1[[#This Row],[Beneficio]]/Tabla1[[#This Row],[Ingresos]]</f>
        <v>0.33333333333333331</v>
      </c>
    </row>
    <row r="579" spans="1:8" x14ac:dyDescent="0.35">
      <c r="A579" s="2">
        <v>43475</v>
      </c>
      <c r="B579" t="s">
        <v>7</v>
      </c>
      <c r="C579" t="s">
        <v>12</v>
      </c>
      <c r="D579" t="s">
        <v>16</v>
      </c>
      <c r="E579" s="7">
        <v>242542.24615384612</v>
      </c>
      <c r="F579" s="7">
        <v>210203.28</v>
      </c>
      <c r="G579" s="8">
        <f>Tabla1[[#This Row],[Ingresos]]-Tabla1[[#This Row],[Gastos]]</f>
        <v>32338.966153846122</v>
      </c>
      <c r="H579" s="13">
        <f>Tabla1[[#This Row],[Beneficio]]/Tabla1[[#This Row],[Ingresos]]</f>
        <v>0.13333333333333322</v>
      </c>
    </row>
    <row r="580" spans="1:8" x14ac:dyDescent="0.35">
      <c r="A580" s="2">
        <v>43475</v>
      </c>
      <c r="B580" t="s">
        <v>6</v>
      </c>
      <c r="C580" t="s">
        <v>10</v>
      </c>
      <c r="D580" t="s">
        <v>18</v>
      </c>
      <c r="E580" s="7">
        <v>39502.663200000003</v>
      </c>
      <c r="F580" s="7">
        <v>32918.885999999999</v>
      </c>
      <c r="G580" s="8">
        <f>Tabla1[[#This Row],[Ingresos]]-Tabla1[[#This Row],[Gastos]]</f>
        <v>6583.7772000000041</v>
      </c>
      <c r="H580" s="13">
        <f>Tabla1[[#This Row],[Beneficio]]/Tabla1[[#This Row],[Ingresos]]</f>
        <v>0.16666666666666677</v>
      </c>
    </row>
    <row r="581" spans="1:8" x14ac:dyDescent="0.35">
      <c r="A581" s="2">
        <v>43476</v>
      </c>
      <c r="B581" t="s">
        <v>9</v>
      </c>
      <c r="C581" t="s">
        <v>11</v>
      </c>
      <c r="D581" t="s">
        <v>15</v>
      </c>
      <c r="E581" s="7">
        <v>11395.44</v>
      </c>
      <c r="F581" s="7">
        <v>7913.4999999999991</v>
      </c>
      <c r="G581" s="8">
        <f>Tabla1[[#This Row],[Ingresos]]-Tabla1[[#This Row],[Gastos]]</f>
        <v>3481.9400000000014</v>
      </c>
      <c r="H581" s="13">
        <f>Tabla1[[#This Row],[Beneficio]]/Tabla1[[#This Row],[Ingresos]]</f>
        <v>0.30555555555555569</v>
      </c>
    </row>
    <row r="582" spans="1:8" x14ac:dyDescent="0.35">
      <c r="A582" s="2">
        <v>43476</v>
      </c>
      <c r="B582" t="s">
        <v>8</v>
      </c>
      <c r="C582" t="s">
        <v>10</v>
      </c>
      <c r="D582" t="s">
        <v>16</v>
      </c>
      <c r="E582" s="7">
        <v>335941.8209134615</v>
      </c>
      <c r="F582" s="7">
        <v>300541.5</v>
      </c>
      <c r="G582" s="8">
        <f>Tabla1[[#This Row],[Ingresos]]-Tabla1[[#This Row],[Gastos]]</f>
        <v>35400.320913461503</v>
      </c>
      <c r="H582" s="13">
        <f>Tabla1[[#This Row],[Beneficio]]/Tabla1[[#This Row],[Ingresos]]</f>
        <v>0.10537634408602141</v>
      </c>
    </row>
    <row r="583" spans="1:8" x14ac:dyDescent="0.35">
      <c r="A583" s="2">
        <v>43476</v>
      </c>
      <c r="B583" t="s">
        <v>8</v>
      </c>
      <c r="C583" t="s">
        <v>13</v>
      </c>
      <c r="D583" t="s">
        <v>18</v>
      </c>
      <c r="E583" s="7">
        <v>14231.687400000003</v>
      </c>
      <c r="F583" s="7">
        <v>10891.5975</v>
      </c>
      <c r="G583" s="8">
        <f>Tabla1[[#This Row],[Ingresos]]-Tabla1[[#This Row],[Gastos]]</f>
        <v>3340.0899000000027</v>
      </c>
      <c r="H583" s="13">
        <f>Tabla1[[#This Row],[Beneficio]]/Tabla1[[#This Row],[Ingresos]]</f>
        <v>0.23469387755102056</v>
      </c>
    </row>
    <row r="584" spans="1:8" x14ac:dyDescent="0.35">
      <c r="A584" s="2">
        <v>43477</v>
      </c>
      <c r="B584" t="s">
        <v>5</v>
      </c>
      <c r="C584" t="s">
        <v>10</v>
      </c>
      <c r="D584" t="s">
        <v>15</v>
      </c>
      <c r="E584" s="7">
        <v>3732.7499999999995</v>
      </c>
      <c r="F584" s="7">
        <v>2765</v>
      </c>
      <c r="G584" s="8">
        <f>Tabla1[[#This Row],[Ingresos]]-Tabla1[[#This Row],[Gastos]]</f>
        <v>967.74999999999955</v>
      </c>
      <c r="H584" s="13">
        <f>Tabla1[[#This Row],[Beneficio]]/Tabla1[[#This Row],[Ingresos]]</f>
        <v>0.25925925925925919</v>
      </c>
    </row>
    <row r="585" spans="1:8" x14ac:dyDescent="0.35">
      <c r="A585" s="2">
        <v>43477</v>
      </c>
      <c r="B585" t="s">
        <v>9</v>
      </c>
      <c r="C585" t="s">
        <v>12</v>
      </c>
      <c r="D585" t="s">
        <v>16</v>
      </c>
      <c r="E585" s="7">
        <v>50374.759615384617</v>
      </c>
      <c r="F585" s="7">
        <v>49308</v>
      </c>
      <c r="G585" s="8">
        <f>Tabla1[[#This Row],[Ingresos]]-Tabla1[[#This Row],[Gastos]]</f>
        <v>1066.7596153846171</v>
      </c>
      <c r="H585" s="13">
        <f>Tabla1[[#This Row],[Beneficio]]/Tabla1[[#This Row],[Ingresos]]</f>
        <v>2.1176470588235328E-2</v>
      </c>
    </row>
    <row r="586" spans="1:8" x14ac:dyDescent="0.35">
      <c r="A586" s="2">
        <v>43477</v>
      </c>
      <c r="B586" t="s">
        <v>9</v>
      </c>
      <c r="C586" t="s">
        <v>10</v>
      </c>
      <c r="D586" t="s">
        <v>16</v>
      </c>
      <c r="E586" s="7">
        <v>324428.79807692301</v>
      </c>
      <c r="F586" s="7">
        <v>287154</v>
      </c>
      <c r="G586" s="8">
        <f>Tabla1[[#This Row],[Ingresos]]-Tabla1[[#This Row],[Gastos]]</f>
        <v>37274.798076923005</v>
      </c>
      <c r="H586" s="13">
        <f>Tabla1[[#This Row],[Beneficio]]/Tabla1[[#This Row],[Ingresos]]</f>
        <v>0.1148936170212764</v>
      </c>
    </row>
    <row r="587" spans="1:8" x14ac:dyDescent="0.35">
      <c r="A587" s="2">
        <v>43477</v>
      </c>
      <c r="B587" t="s">
        <v>5</v>
      </c>
      <c r="C587" t="s">
        <v>10</v>
      </c>
      <c r="D587" t="s">
        <v>16</v>
      </c>
      <c r="E587" s="7">
        <v>3231.1730769230767</v>
      </c>
      <c r="F587" s="7">
        <v>2000.2499999999998</v>
      </c>
      <c r="G587" s="8">
        <f>Tabla1[[#This Row],[Ingresos]]-Tabla1[[#This Row],[Gastos]]</f>
        <v>1230.9230769230769</v>
      </c>
      <c r="H587" s="13">
        <f>Tabla1[[#This Row],[Beneficio]]/Tabla1[[#This Row],[Ingresos]]</f>
        <v>0.38095238095238099</v>
      </c>
    </row>
    <row r="588" spans="1:8" x14ac:dyDescent="0.35">
      <c r="A588" s="2">
        <v>43478</v>
      </c>
      <c r="B588" t="s">
        <v>7</v>
      </c>
      <c r="C588" t="s">
        <v>13</v>
      </c>
      <c r="D588" t="s">
        <v>17</v>
      </c>
      <c r="E588" s="7">
        <v>464214.01949999999</v>
      </c>
      <c r="F588" s="7">
        <v>348327.98</v>
      </c>
      <c r="G588" s="8">
        <f>Tabla1[[#This Row],[Ingresos]]-Tabla1[[#This Row],[Gastos]]</f>
        <v>115886.03950000001</v>
      </c>
      <c r="H588" s="13">
        <f>Tabla1[[#This Row],[Beneficio]]/Tabla1[[#This Row],[Ingresos]]</f>
        <v>0.24963924963924966</v>
      </c>
    </row>
    <row r="589" spans="1:8" x14ac:dyDescent="0.35">
      <c r="A589" s="2">
        <v>43480</v>
      </c>
      <c r="B589" t="s">
        <v>8</v>
      </c>
      <c r="C589" t="s">
        <v>10</v>
      </c>
      <c r="D589" t="s">
        <v>18</v>
      </c>
      <c r="E589" s="7">
        <v>11633.159999999998</v>
      </c>
      <c r="F589" s="7">
        <v>8724.869999999999</v>
      </c>
      <c r="G589" s="8">
        <f>Tabla1[[#This Row],[Ingresos]]-Tabla1[[#This Row],[Gastos]]</f>
        <v>2908.2899999999991</v>
      </c>
      <c r="H589" s="13">
        <f>Tabla1[[#This Row],[Beneficio]]/Tabla1[[#This Row],[Ingresos]]</f>
        <v>0.24999999999999997</v>
      </c>
    </row>
    <row r="590" spans="1:8" x14ac:dyDescent="0.35">
      <c r="A590" s="2">
        <v>43481</v>
      </c>
      <c r="B590" t="s">
        <v>9</v>
      </c>
      <c r="C590" t="s">
        <v>12</v>
      </c>
      <c r="D590" t="s">
        <v>17</v>
      </c>
      <c r="E590" s="7">
        <v>27834.067799999997</v>
      </c>
      <c r="F590" s="7">
        <v>14057.609999999999</v>
      </c>
      <c r="G590" s="8">
        <f>Tabla1[[#This Row],[Ingresos]]-Tabla1[[#This Row],[Gastos]]</f>
        <v>13776.457799999998</v>
      </c>
      <c r="H590" s="13">
        <f>Tabla1[[#This Row],[Beneficio]]/Tabla1[[#This Row],[Ingresos]]</f>
        <v>0.49494949494949492</v>
      </c>
    </row>
    <row r="591" spans="1:8" x14ac:dyDescent="0.35">
      <c r="A591" s="2">
        <v>43481</v>
      </c>
      <c r="B591" t="s">
        <v>6</v>
      </c>
      <c r="C591" t="s">
        <v>11</v>
      </c>
      <c r="D591" t="s">
        <v>18</v>
      </c>
      <c r="E591" s="7">
        <v>9344.58</v>
      </c>
      <c r="F591" s="7">
        <v>7377.2999999999993</v>
      </c>
      <c r="G591" s="8">
        <f>Tabla1[[#This Row],[Ingresos]]-Tabla1[[#This Row],[Gastos]]</f>
        <v>1967.2800000000007</v>
      </c>
      <c r="H591" s="13">
        <f>Tabla1[[#This Row],[Beneficio]]/Tabla1[[#This Row],[Ingresos]]</f>
        <v>0.21052631578947376</v>
      </c>
    </row>
    <row r="592" spans="1:8" x14ac:dyDescent="0.35">
      <c r="A592" s="2">
        <v>43482</v>
      </c>
      <c r="B592" t="s">
        <v>6</v>
      </c>
      <c r="C592" t="s">
        <v>10</v>
      </c>
      <c r="D592" t="s">
        <v>16</v>
      </c>
      <c r="E592" s="7">
        <v>160488.87548076926</v>
      </c>
      <c r="F592" s="7">
        <v>136251.78</v>
      </c>
      <c r="G592" s="8">
        <f>Tabla1[[#This Row],[Ingresos]]-Tabla1[[#This Row],[Gastos]]</f>
        <v>24237.095480769261</v>
      </c>
      <c r="H592" s="13">
        <f>Tabla1[[#This Row],[Beneficio]]/Tabla1[[#This Row],[Ingresos]]</f>
        <v>0.15102040816326548</v>
      </c>
    </row>
    <row r="593" spans="1:8" x14ac:dyDescent="0.35">
      <c r="A593" s="2">
        <v>43482</v>
      </c>
      <c r="B593" t="s">
        <v>8</v>
      </c>
      <c r="C593" t="s">
        <v>13</v>
      </c>
      <c r="D593" t="s">
        <v>16</v>
      </c>
      <c r="E593" s="7">
        <v>5121.5365384615379</v>
      </c>
      <c r="F593" s="7">
        <v>3202.5</v>
      </c>
      <c r="G593" s="8">
        <f>Tabla1[[#This Row],[Ingresos]]-Tabla1[[#This Row],[Gastos]]</f>
        <v>1919.0365384615379</v>
      </c>
      <c r="H593" s="13">
        <f>Tabla1[[#This Row],[Beneficio]]/Tabla1[[#This Row],[Ingresos]]</f>
        <v>0.37469937469937464</v>
      </c>
    </row>
    <row r="594" spans="1:8" x14ac:dyDescent="0.35">
      <c r="A594" s="2">
        <v>43482</v>
      </c>
      <c r="B594" t="s">
        <v>7</v>
      </c>
      <c r="C594" t="s">
        <v>10</v>
      </c>
      <c r="D594" t="s">
        <v>18</v>
      </c>
      <c r="E594" s="7">
        <v>10792.278</v>
      </c>
      <c r="F594" s="7">
        <v>8703.4499999999989</v>
      </c>
      <c r="G594" s="8">
        <f>Tabla1[[#This Row],[Ingresos]]-Tabla1[[#This Row],[Gastos]]</f>
        <v>2088.8280000000013</v>
      </c>
      <c r="H594" s="13">
        <f>Tabla1[[#This Row],[Beneficio]]/Tabla1[[#This Row],[Ingresos]]</f>
        <v>0.19354838709677433</v>
      </c>
    </row>
    <row r="595" spans="1:8" x14ac:dyDescent="0.35">
      <c r="A595" s="2">
        <v>43483</v>
      </c>
      <c r="B595" t="s">
        <v>7</v>
      </c>
      <c r="C595" t="s">
        <v>13</v>
      </c>
      <c r="D595" t="s">
        <v>17</v>
      </c>
      <c r="E595" s="7">
        <v>3449.8939999999998</v>
      </c>
      <c r="F595" s="7">
        <v>2621.5</v>
      </c>
      <c r="G595" s="8">
        <f>Tabla1[[#This Row],[Ingresos]]-Tabla1[[#This Row],[Gastos]]</f>
        <v>828.39399999999978</v>
      </c>
      <c r="H595" s="13">
        <f>Tabla1[[#This Row],[Beneficio]]/Tabla1[[#This Row],[Ingresos]]</f>
        <v>0.24012158054711241</v>
      </c>
    </row>
    <row r="596" spans="1:8" x14ac:dyDescent="0.35">
      <c r="A596" s="2">
        <v>43483</v>
      </c>
      <c r="B596" t="s">
        <v>9</v>
      </c>
      <c r="C596" t="s">
        <v>12</v>
      </c>
      <c r="D596" t="s">
        <v>19</v>
      </c>
      <c r="E596" s="7">
        <v>577732.41225000005</v>
      </c>
      <c r="F596" s="7">
        <v>496333.68749999994</v>
      </c>
      <c r="G596" s="8">
        <f>Tabla1[[#This Row],[Ingresos]]-Tabla1[[#This Row],[Gastos]]</f>
        <v>81398.72475000011</v>
      </c>
      <c r="H596" s="13">
        <f>Tabla1[[#This Row],[Beneficio]]/Tabla1[[#This Row],[Ingresos]]</f>
        <v>0.14089347079037817</v>
      </c>
    </row>
    <row r="597" spans="1:8" x14ac:dyDescent="0.35">
      <c r="A597" s="2">
        <v>43485</v>
      </c>
      <c r="B597" t="s">
        <v>7</v>
      </c>
      <c r="C597" t="s">
        <v>13</v>
      </c>
      <c r="D597" t="s">
        <v>16</v>
      </c>
      <c r="E597" s="7">
        <v>55149.230769230759</v>
      </c>
      <c r="F597" s="7">
        <v>47796</v>
      </c>
      <c r="G597" s="8">
        <f>Tabla1[[#This Row],[Ingresos]]-Tabla1[[#This Row],[Gastos]]</f>
        <v>7353.2307692307586</v>
      </c>
      <c r="H597" s="13">
        <f>Tabla1[[#This Row],[Beneficio]]/Tabla1[[#This Row],[Ingresos]]</f>
        <v>0.13333333333333316</v>
      </c>
    </row>
    <row r="598" spans="1:8" x14ac:dyDescent="0.35">
      <c r="A598" s="2">
        <v>43485</v>
      </c>
      <c r="B598" t="s">
        <v>6</v>
      </c>
      <c r="C598" t="s">
        <v>43</v>
      </c>
      <c r="D598" t="s">
        <v>17</v>
      </c>
      <c r="E598" s="7">
        <v>345383.85</v>
      </c>
      <c r="F598" s="7">
        <v>261806.99999999997</v>
      </c>
      <c r="G598" s="8">
        <f>Tabla1[[#This Row],[Ingresos]]-Tabla1[[#This Row],[Gastos]]</f>
        <v>83576.850000000006</v>
      </c>
      <c r="H598" s="13">
        <f>Tabla1[[#This Row],[Beneficio]]/Tabla1[[#This Row],[Ingresos]]</f>
        <v>0.24198250728862977</v>
      </c>
    </row>
    <row r="599" spans="1:8" x14ac:dyDescent="0.35">
      <c r="A599" s="2">
        <v>43486</v>
      </c>
      <c r="B599" t="s">
        <v>5</v>
      </c>
      <c r="C599" t="s">
        <v>13</v>
      </c>
      <c r="D599" t="s">
        <v>17</v>
      </c>
      <c r="E599" s="7">
        <v>83714.049999999988</v>
      </c>
      <c r="F599" s="7">
        <v>66157</v>
      </c>
      <c r="G599" s="8">
        <f>Tabla1[[#This Row],[Ingresos]]-Tabla1[[#This Row],[Gastos]]</f>
        <v>17557.049999999988</v>
      </c>
      <c r="H599" s="13">
        <f>Tabla1[[#This Row],[Beneficio]]/Tabla1[[#This Row],[Ingresos]]</f>
        <v>0.20972644376899685</v>
      </c>
    </row>
    <row r="600" spans="1:8" x14ac:dyDescent="0.35">
      <c r="A600" s="2">
        <v>43487</v>
      </c>
      <c r="B600" t="s">
        <v>7</v>
      </c>
      <c r="C600" t="s">
        <v>43</v>
      </c>
      <c r="D600" t="s">
        <v>15</v>
      </c>
      <c r="E600" s="7">
        <v>3028.7249999999999</v>
      </c>
      <c r="F600" s="7">
        <v>2243.5</v>
      </c>
      <c r="G600" s="8">
        <f>Tabla1[[#This Row],[Ingresos]]-Tabla1[[#This Row],[Gastos]]</f>
        <v>785.22499999999991</v>
      </c>
      <c r="H600" s="13">
        <f>Tabla1[[#This Row],[Beneficio]]/Tabla1[[#This Row],[Ingresos]]</f>
        <v>0.25925925925925924</v>
      </c>
    </row>
    <row r="601" spans="1:8" x14ac:dyDescent="0.35">
      <c r="A601" s="2">
        <v>43487</v>
      </c>
      <c r="B601" t="s">
        <v>8</v>
      </c>
      <c r="C601" t="s">
        <v>12</v>
      </c>
      <c r="D601" t="s">
        <v>19</v>
      </c>
      <c r="E601" s="7">
        <v>104531.7</v>
      </c>
      <c r="F601" s="7">
        <v>95725</v>
      </c>
      <c r="G601" s="8">
        <f>Tabla1[[#This Row],[Ingresos]]-Tabla1[[#This Row],[Gastos]]</f>
        <v>8806.6999999999971</v>
      </c>
      <c r="H601" s="13">
        <f>Tabla1[[#This Row],[Beneficio]]/Tabla1[[#This Row],[Ingresos]]</f>
        <v>8.4249084249084227E-2</v>
      </c>
    </row>
    <row r="602" spans="1:8" x14ac:dyDescent="0.35">
      <c r="A602" s="2">
        <v>43488</v>
      </c>
      <c r="B602" t="s">
        <v>8</v>
      </c>
      <c r="C602" t="s">
        <v>43</v>
      </c>
      <c r="D602" t="s">
        <v>18</v>
      </c>
      <c r="E602" s="7">
        <v>12673.017</v>
      </c>
      <c r="F602" s="7">
        <v>10220.174999999999</v>
      </c>
      <c r="G602" s="8">
        <f>Tabla1[[#This Row],[Ingresos]]-Tabla1[[#This Row],[Gastos]]</f>
        <v>2452.8420000000006</v>
      </c>
      <c r="H602" s="13">
        <f>Tabla1[[#This Row],[Beneficio]]/Tabla1[[#This Row],[Ingresos]]</f>
        <v>0.19354838709677424</v>
      </c>
    </row>
    <row r="603" spans="1:8" x14ac:dyDescent="0.35">
      <c r="A603" s="2">
        <v>43489</v>
      </c>
      <c r="B603" t="s">
        <v>8</v>
      </c>
      <c r="C603" t="s">
        <v>43</v>
      </c>
      <c r="D603" t="s">
        <v>17</v>
      </c>
      <c r="E603" s="7">
        <v>141461.77499999999</v>
      </c>
      <c r="F603" s="7">
        <v>115478.99999999999</v>
      </c>
      <c r="G603" s="8">
        <f>Tabla1[[#This Row],[Ingresos]]-Tabla1[[#This Row],[Gastos]]</f>
        <v>25982.775000000009</v>
      </c>
      <c r="H603" s="13">
        <f>Tabla1[[#This Row],[Beneficio]]/Tabla1[[#This Row],[Ingresos]]</f>
        <v>0.18367346938775517</v>
      </c>
    </row>
    <row r="604" spans="1:8" x14ac:dyDescent="0.35">
      <c r="A604" s="2">
        <v>43489</v>
      </c>
      <c r="B604" t="s">
        <v>5</v>
      </c>
      <c r="C604" t="s">
        <v>11</v>
      </c>
      <c r="D604" t="s">
        <v>17</v>
      </c>
      <c r="E604" s="7">
        <v>6312.5719999999992</v>
      </c>
      <c r="F604" s="7">
        <v>5243</v>
      </c>
      <c r="G604" s="8">
        <f>Tabla1[[#This Row],[Ingresos]]-Tabla1[[#This Row],[Gastos]]</f>
        <v>1069.5719999999992</v>
      </c>
      <c r="H604" s="13">
        <f>Tabla1[[#This Row],[Beneficio]]/Tabla1[[#This Row],[Ingresos]]</f>
        <v>0.16943521594684374</v>
      </c>
    </row>
    <row r="605" spans="1:8" x14ac:dyDescent="0.35">
      <c r="A605" s="2">
        <v>43490</v>
      </c>
      <c r="B605" t="s">
        <v>7</v>
      </c>
      <c r="C605" t="s">
        <v>13</v>
      </c>
      <c r="D605" t="s">
        <v>15</v>
      </c>
      <c r="E605" s="7">
        <v>5113.5</v>
      </c>
      <c r="F605" s="7">
        <v>3409</v>
      </c>
      <c r="G605" s="8">
        <f>Tabla1[[#This Row],[Ingresos]]-Tabla1[[#This Row],[Gastos]]</f>
        <v>1704.5</v>
      </c>
      <c r="H605" s="13">
        <f>Tabla1[[#This Row],[Beneficio]]/Tabla1[[#This Row],[Ingresos]]</f>
        <v>0.33333333333333331</v>
      </c>
    </row>
    <row r="606" spans="1:8" x14ac:dyDescent="0.35">
      <c r="A606" s="2">
        <v>43490</v>
      </c>
      <c r="B606" t="s">
        <v>5</v>
      </c>
      <c r="C606" t="s">
        <v>12</v>
      </c>
      <c r="D606" t="s">
        <v>19</v>
      </c>
      <c r="E606" s="7">
        <v>872972.1</v>
      </c>
      <c r="F606" s="7">
        <v>855855</v>
      </c>
      <c r="G606" s="8">
        <f>Tabla1[[#This Row],[Ingresos]]-Tabla1[[#This Row],[Gastos]]</f>
        <v>17117.099999999977</v>
      </c>
      <c r="H606" s="13">
        <f>Tabla1[[#This Row],[Beneficio]]/Tabla1[[#This Row],[Ingresos]]</f>
        <v>1.9607843137254877E-2</v>
      </c>
    </row>
    <row r="607" spans="1:8" x14ac:dyDescent="0.35">
      <c r="A607" s="2">
        <v>43491</v>
      </c>
      <c r="B607" t="s">
        <v>5</v>
      </c>
      <c r="C607" t="s">
        <v>10</v>
      </c>
      <c r="D607" t="s">
        <v>19</v>
      </c>
      <c r="E607" s="7">
        <v>205659.59399999998</v>
      </c>
      <c r="F607" s="7">
        <v>176683.5</v>
      </c>
      <c r="G607" s="8">
        <f>Tabla1[[#This Row],[Ingresos]]-Tabla1[[#This Row],[Gastos]]</f>
        <v>28976.093999999983</v>
      </c>
      <c r="H607" s="13">
        <f>Tabla1[[#This Row],[Beneficio]]/Tabla1[[#This Row],[Ingresos]]</f>
        <v>0.14089347079037792</v>
      </c>
    </row>
    <row r="608" spans="1:8" x14ac:dyDescent="0.35">
      <c r="A608" s="2">
        <v>43492</v>
      </c>
      <c r="B608" t="s">
        <v>7</v>
      </c>
      <c r="C608" t="s">
        <v>13</v>
      </c>
      <c r="D608" t="s">
        <v>15</v>
      </c>
      <c r="E608" s="7">
        <v>6488.2335000000003</v>
      </c>
      <c r="F608" s="7">
        <v>4860.0999999999995</v>
      </c>
      <c r="G608" s="8">
        <f>Tabla1[[#This Row],[Ingresos]]-Tabla1[[#This Row],[Gastos]]</f>
        <v>1628.1335000000008</v>
      </c>
      <c r="H608" s="13">
        <f>Tabla1[[#This Row],[Beneficio]]/Tabla1[[#This Row],[Ingresos]]</f>
        <v>0.25093632958801509</v>
      </c>
    </row>
    <row r="609" spans="1:8" x14ac:dyDescent="0.35">
      <c r="A609" s="2">
        <v>43492</v>
      </c>
      <c r="B609" t="s">
        <v>6</v>
      </c>
      <c r="C609" t="s">
        <v>10</v>
      </c>
      <c r="D609" t="s">
        <v>17</v>
      </c>
      <c r="E609" s="7">
        <v>11691.678319999999</v>
      </c>
      <c r="F609" s="7">
        <v>9077.39</v>
      </c>
      <c r="G609" s="8">
        <f>Tabla1[[#This Row],[Ingresos]]-Tabla1[[#This Row],[Gastos]]</f>
        <v>2614.2883199999997</v>
      </c>
      <c r="H609" s="13">
        <f>Tabla1[[#This Row],[Beneficio]]/Tabla1[[#This Row],[Ingresos]]</f>
        <v>0.22360248447204967</v>
      </c>
    </row>
    <row r="610" spans="1:8" x14ac:dyDescent="0.35">
      <c r="A610" s="2">
        <v>43493</v>
      </c>
      <c r="B610" t="s">
        <v>8</v>
      </c>
      <c r="C610" t="s">
        <v>43</v>
      </c>
      <c r="D610" t="s">
        <v>17</v>
      </c>
      <c r="E610" s="7">
        <v>31797.499999999996</v>
      </c>
      <c r="F610" s="7">
        <v>15898.749999999998</v>
      </c>
      <c r="G610" s="8">
        <f>Tabla1[[#This Row],[Ingresos]]-Tabla1[[#This Row],[Gastos]]</f>
        <v>15898.749999999998</v>
      </c>
      <c r="H610" s="13">
        <f>Tabla1[[#This Row],[Beneficio]]/Tabla1[[#This Row],[Ingresos]]</f>
        <v>0.5</v>
      </c>
    </row>
    <row r="611" spans="1:8" x14ac:dyDescent="0.35">
      <c r="A611" s="2">
        <v>43493</v>
      </c>
      <c r="B611" t="s">
        <v>9</v>
      </c>
      <c r="C611" t="s">
        <v>43</v>
      </c>
      <c r="D611" t="s">
        <v>17</v>
      </c>
      <c r="E611" s="7">
        <v>25544.719199999996</v>
      </c>
      <c r="F611" s="7">
        <v>18618.599999999999</v>
      </c>
      <c r="G611" s="8">
        <f>Tabla1[[#This Row],[Ingresos]]-Tabla1[[#This Row],[Gastos]]</f>
        <v>6926.1191999999974</v>
      </c>
      <c r="H611" s="13">
        <f>Tabla1[[#This Row],[Beneficio]]/Tabla1[[#This Row],[Ingresos]]</f>
        <v>0.27113702623906699</v>
      </c>
    </row>
    <row r="612" spans="1:8" x14ac:dyDescent="0.35">
      <c r="A612" s="2">
        <v>43493</v>
      </c>
      <c r="B612" t="s">
        <v>6</v>
      </c>
      <c r="C612" t="s">
        <v>10</v>
      </c>
      <c r="D612" t="s">
        <v>18</v>
      </c>
      <c r="E612" s="7">
        <v>14141.524319999999</v>
      </c>
      <c r="F612" s="7">
        <v>10713.276</v>
      </c>
      <c r="G612" s="8">
        <f>Tabla1[[#This Row],[Ingresos]]-Tabla1[[#This Row],[Gastos]]</f>
        <v>3428.2483199999988</v>
      </c>
      <c r="H612" s="13">
        <f>Tabla1[[#This Row],[Beneficio]]/Tabla1[[#This Row],[Ingresos]]</f>
        <v>0.24242424242424238</v>
      </c>
    </row>
    <row r="613" spans="1:8" x14ac:dyDescent="0.35">
      <c r="A613" s="2">
        <v>43494</v>
      </c>
      <c r="B613" t="s">
        <v>7</v>
      </c>
      <c r="C613" t="s">
        <v>10</v>
      </c>
      <c r="D613" t="s">
        <v>16</v>
      </c>
      <c r="E613" s="7">
        <v>108227.05384615382</v>
      </c>
      <c r="F613" s="7">
        <v>102323.76000000001</v>
      </c>
      <c r="G613" s="8">
        <f>Tabla1[[#This Row],[Ingresos]]-Tabla1[[#This Row],[Gastos]]</f>
        <v>5903.2938461538142</v>
      </c>
      <c r="H613" s="13">
        <f>Tabla1[[#This Row],[Beneficio]]/Tabla1[[#This Row],[Ingresos]]</f>
        <v>5.4545454545454265E-2</v>
      </c>
    </row>
    <row r="614" spans="1:8" x14ac:dyDescent="0.35">
      <c r="A614" s="2">
        <v>43495</v>
      </c>
      <c r="B614" t="s">
        <v>5</v>
      </c>
      <c r="C614" t="s">
        <v>12</v>
      </c>
      <c r="D614" t="s">
        <v>17</v>
      </c>
      <c r="E614" s="7">
        <v>32222.399999999998</v>
      </c>
      <c r="F614" s="7">
        <v>24934</v>
      </c>
      <c r="G614" s="8">
        <f>Tabla1[[#This Row],[Ingresos]]-Tabla1[[#This Row],[Gastos]]</f>
        <v>7288.3999999999978</v>
      </c>
      <c r="H614" s="13">
        <f>Tabla1[[#This Row],[Beneficio]]/Tabla1[[#This Row],[Ingresos]]</f>
        <v>0.22619047619047614</v>
      </c>
    </row>
    <row r="615" spans="1:8" x14ac:dyDescent="0.35">
      <c r="A615" s="2">
        <v>43497</v>
      </c>
      <c r="B615" t="s">
        <v>6</v>
      </c>
      <c r="C615" t="s">
        <v>13</v>
      </c>
      <c r="D615" t="s">
        <v>15</v>
      </c>
      <c r="E615" s="7">
        <v>8601.7049999999999</v>
      </c>
      <c r="F615" s="7">
        <v>6100.5</v>
      </c>
      <c r="G615" s="8">
        <f>Tabla1[[#This Row],[Ingresos]]-Tabla1[[#This Row],[Gastos]]</f>
        <v>2501.2049999999999</v>
      </c>
      <c r="H615" s="13">
        <f>Tabla1[[#This Row],[Beneficio]]/Tabla1[[#This Row],[Ingresos]]</f>
        <v>0.29078014184397161</v>
      </c>
    </row>
    <row r="616" spans="1:8" x14ac:dyDescent="0.35">
      <c r="A616" s="2">
        <v>43497</v>
      </c>
      <c r="B616" t="s">
        <v>7</v>
      </c>
      <c r="C616" t="s">
        <v>13</v>
      </c>
      <c r="D616" t="s">
        <v>17</v>
      </c>
      <c r="E616" s="7">
        <v>16378.669999999998</v>
      </c>
      <c r="F616" s="7">
        <v>9201.5</v>
      </c>
      <c r="G616" s="8">
        <f>Tabla1[[#This Row],[Ingresos]]-Tabla1[[#This Row],[Gastos]]</f>
        <v>7177.1699999999983</v>
      </c>
      <c r="H616" s="13">
        <f>Tabla1[[#This Row],[Beneficio]]/Tabla1[[#This Row],[Ingresos]]</f>
        <v>0.4382022471910112</v>
      </c>
    </row>
    <row r="617" spans="1:8" x14ac:dyDescent="0.35">
      <c r="A617" s="2">
        <v>43498</v>
      </c>
      <c r="B617" t="s">
        <v>6</v>
      </c>
      <c r="C617" t="s">
        <v>43</v>
      </c>
      <c r="D617" t="s">
        <v>17</v>
      </c>
      <c r="E617" s="7">
        <v>23113.7984</v>
      </c>
      <c r="F617" s="7">
        <v>12985.28</v>
      </c>
      <c r="G617" s="8">
        <f>Tabla1[[#This Row],[Ingresos]]-Tabla1[[#This Row],[Gastos]]</f>
        <v>10128.518399999999</v>
      </c>
      <c r="H617" s="13">
        <f>Tabla1[[#This Row],[Beneficio]]/Tabla1[[#This Row],[Ingresos]]</f>
        <v>0.4382022471910112</v>
      </c>
    </row>
    <row r="618" spans="1:8" x14ac:dyDescent="0.35">
      <c r="A618" s="2">
        <v>43500</v>
      </c>
      <c r="B618" t="s">
        <v>6</v>
      </c>
      <c r="C618" t="s">
        <v>12</v>
      </c>
      <c r="D618" t="s">
        <v>16</v>
      </c>
      <c r="E618" s="7">
        <v>6066.576923076922</v>
      </c>
      <c r="F618" s="7">
        <v>3755.4999999999995</v>
      </c>
      <c r="G618" s="8">
        <f>Tabla1[[#This Row],[Ingresos]]-Tabla1[[#This Row],[Gastos]]</f>
        <v>2311.0769230769224</v>
      </c>
      <c r="H618" s="13">
        <f>Tabla1[[#This Row],[Beneficio]]/Tabla1[[#This Row],[Ingresos]]</f>
        <v>0.38095238095238093</v>
      </c>
    </row>
    <row r="619" spans="1:8" x14ac:dyDescent="0.35">
      <c r="A619" s="2">
        <v>43501</v>
      </c>
      <c r="B619" t="s">
        <v>6</v>
      </c>
      <c r="C619" t="s">
        <v>12</v>
      </c>
      <c r="D619" t="s">
        <v>19</v>
      </c>
      <c r="E619" s="7">
        <v>513366.33599999995</v>
      </c>
      <c r="F619" s="7">
        <v>445630.5</v>
      </c>
      <c r="G619" s="8">
        <f>Tabla1[[#This Row],[Ingresos]]-Tabla1[[#This Row],[Gastos]]</f>
        <v>67735.835999999952</v>
      </c>
      <c r="H619" s="13">
        <f>Tabla1[[#This Row],[Beneficio]]/Tabla1[[#This Row],[Ingresos]]</f>
        <v>0.13194444444444436</v>
      </c>
    </row>
    <row r="620" spans="1:8" x14ac:dyDescent="0.35">
      <c r="A620" s="2">
        <v>43502</v>
      </c>
      <c r="B620" t="s">
        <v>8</v>
      </c>
      <c r="C620" t="s">
        <v>13</v>
      </c>
      <c r="D620" t="s">
        <v>17</v>
      </c>
      <c r="E620" s="7">
        <v>21070</v>
      </c>
      <c r="F620" s="7">
        <v>18200</v>
      </c>
      <c r="G620" s="8">
        <f>Tabla1[[#This Row],[Ingresos]]-Tabla1[[#This Row],[Gastos]]</f>
        <v>2870</v>
      </c>
      <c r="H620" s="13">
        <f>Tabla1[[#This Row],[Beneficio]]/Tabla1[[#This Row],[Ingresos]]</f>
        <v>0.13621262458471761</v>
      </c>
    </row>
    <row r="621" spans="1:8" x14ac:dyDescent="0.35">
      <c r="A621" s="2">
        <v>43502</v>
      </c>
      <c r="B621" t="s">
        <v>7</v>
      </c>
      <c r="C621" t="s">
        <v>43</v>
      </c>
      <c r="D621" t="s">
        <v>17</v>
      </c>
      <c r="E621" s="7">
        <v>15141.617399999997</v>
      </c>
      <c r="F621" s="7">
        <v>8319.57</v>
      </c>
      <c r="G621" s="8">
        <f>Tabla1[[#This Row],[Ingresos]]-Tabla1[[#This Row],[Gastos]]</f>
        <v>6822.0473999999977</v>
      </c>
      <c r="H621" s="13">
        <f>Tabla1[[#This Row],[Beneficio]]/Tabla1[[#This Row],[Ingresos]]</f>
        <v>0.45054945054945045</v>
      </c>
    </row>
    <row r="622" spans="1:8" x14ac:dyDescent="0.35">
      <c r="A622" s="2">
        <v>43503</v>
      </c>
      <c r="B622" t="s">
        <v>9</v>
      </c>
      <c r="C622" t="s">
        <v>43</v>
      </c>
      <c r="D622" t="s">
        <v>17</v>
      </c>
      <c r="E622" s="7">
        <v>723015.4574999999</v>
      </c>
      <c r="F622" s="7">
        <v>617353.1</v>
      </c>
      <c r="G622" s="8">
        <f>Tabla1[[#This Row],[Ingresos]]-Tabla1[[#This Row],[Gastos]]</f>
        <v>105662.35749999993</v>
      </c>
      <c r="H622" s="13">
        <f>Tabla1[[#This Row],[Beneficio]]/Tabla1[[#This Row],[Ingresos]]</f>
        <v>0.14614121510673225</v>
      </c>
    </row>
    <row r="623" spans="1:8" x14ac:dyDescent="0.35">
      <c r="A623" s="2">
        <v>43503</v>
      </c>
      <c r="B623" t="s">
        <v>5</v>
      </c>
      <c r="C623" t="s">
        <v>43</v>
      </c>
      <c r="D623" t="s">
        <v>18</v>
      </c>
      <c r="E623" s="7">
        <v>27875.819999999996</v>
      </c>
      <c r="F623" s="7">
        <v>20906.864999999998</v>
      </c>
      <c r="G623" s="8">
        <f>Tabla1[[#This Row],[Ingresos]]-Tabla1[[#This Row],[Gastos]]</f>
        <v>6968.9549999999981</v>
      </c>
      <c r="H623" s="13">
        <f>Tabla1[[#This Row],[Beneficio]]/Tabla1[[#This Row],[Ingresos]]</f>
        <v>0.24999999999999997</v>
      </c>
    </row>
    <row r="624" spans="1:8" x14ac:dyDescent="0.35">
      <c r="A624" s="2">
        <v>43504</v>
      </c>
      <c r="B624" t="s">
        <v>5</v>
      </c>
      <c r="C624" t="s">
        <v>43</v>
      </c>
      <c r="D624" t="s">
        <v>16</v>
      </c>
      <c r="E624" s="7">
        <v>353106.15576923068</v>
      </c>
      <c r="F624" s="7">
        <v>333845.82</v>
      </c>
      <c r="G624" s="8">
        <f>Tabla1[[#This Row],[Ingresos]]-Tabla1[[#This Row],[Gastos]]</f>
        <v>19260.335769230674</v>
      </c>
      <c r="H624" s="13">
        <f>Tabla1[[#This Row],[Beneficio]]/Tabla1[[#This Row],[Ingresos]]</f>
        <v>5.4545454545454293E-2</v>
      </c>
    </row>
    <row r="625" spans="1:8" x14ac:dyDescent="0.35">
      <c r="A625" s="2">
        <v>43504</v>
      </c>
      <c r="B625" t="s">
        <v>8</v>
      </c>
      <c r="C625" t="s">
        <v>10</v>
      </c>
      <c r="D625" t="s">
        <v>17</v>
      </c>
      <c r="E625" s="7">
        <v>6705.5519999999997</v>
      </c>
      <c r="F625" s="7">
        <v>4989.25</v>
      </c>
      <c r="G625" s="8">
        <f>Tabla1[[#This Row],[Ingresos]]-Tabla1[[#This Row],[Gastos]]</f>
        <v>1716.3019999999997</v>
      </c>
      <c r="H625" s="13">
        <f>Tabla1[[#This Row],[Beneficio]]/Tabla1[[#This Row],[Ingresos]]</f>
        <v>0.25595238095238093</v>
      </c>
    </row>
    <row r="626" spans="1:8" x14ac:dyDescent="0.35">
      <c r="A626" s="2">
        <v>43504</v>
      </c>
      <c r="B626" t="s">
        <v>5</v>
      </c>
      <c r="C626" t="s">
        <v>11</v>
      </c>
      <c r="D626" t="s">
        <v>17</v>
      </c>
      <c r="E626" s="7">
        <v>1246.3395</v>
      </c>
      <c r="F626" s="7">
        <v>957.24999999999989</v>
      </c>
      <c r="G626" s="8">
        <f>Tabla1[[#This Row],[Ingresos]]-Tabla1[[#This Row],[Gastos]]</f>
        <v>289.08950000000016</v>
      </c>
      <c r="H626" s="13">
        <f>Tabla1[[#This Row],[Beneficio]]/Tabla1[[#This Row],[Ingresos]]</f>
        <v>0.23195084485407078</v>
      </c>
    </row>
    <row r="627" spans="1:8" x14ac:dyDescent="0.35">
      <c r="A627" s="2">
        <v>43506</v>
      </c>
      <c r="B627" t="s">
        <v>6</v>
      </c>
      <c r="C627" t="s">
        <v>13</v>
      </c>
      <c r="D627" t="s">
        <v>19</v>
      </c>
      <c r="E627" s="7">
        <v>737916.47999999986</v>
      </c>
      <c r="F627" s="7">
        <v>627480</v>
      </c>
      <c r="G627" s="8">
        <f>Tabla1[[#This Row],[Ingresos]]-Tabla1[[#This Row],[Gastos]]</f>
        <v>110436.47999999986</v>
      </c>
      <c r="H627" s="13">
        <f>Tabla1[[#This Row],[Beneficio]]/Tabla1[[#This Row],[Ingresos]]</f>
        <v>0.14965986394557806</v>
      </c>
    </row>
    <row r="628" spans="1:8" x14ac:dyDescent="0.35">
      <c r="A628" s="2">
        <v>43507</v>
      </c>
      <c r="B628" t="s">
        <v>7</v>
      </c>
      <c r="C628" t="s">
        <v>10</v>
      </c>
      <c r="D628" t="s">
        <v>18</v>
      </c>
      <c r="E628" s="7">
        <v>52558.393859999996</v>
      </c>
      <c r="F628" s="7">
        <v>42385.801500000001</v>
      </c>
      <c r="G628" s="8">
        <f>Tabla1[[#This Row],[Ingresos]]-Tabla1[[#This Row],[Gastos]]</f>
        <v>10172.592359999995</v>
      </c>
      <c r="H628" s="13">
        <f>Tabla1[[#This Row],[Beneficio]]/Tabla1[[#This Row],[Ingresos]]</f>
        <v>0.1935483870967741</v>
      </c>
    </row>
    <row r="629" spans="1:8" x14ac:dyDescent="0.35">
      <c r="A629" s="2">
        <v>43509</v>
      </c>
      <c r="B629" t="s">
        <v>6</v>
      </c>
      <c r="C629" t="s">
        <v>10</v>
      </c>
      <c r="D629" t="s">
        <v>17</v>
      </c>
      <c r="E629" s="7">
        <v>5935.0882499999998</v>
      </c>
      <c r="F629" s="7">
        <v>4710.3874999999998</v>
      </c>
      <c r="G629" s="8">
        <f>Tabla1[[#This Row],[Ingresos]]-Tabla1[[#This Row],[Gastos]]</f>
        <v>1224.70075</v>
      </c>
      <c r="H629" s="13">
        <f>Tabla1[[#This Row],[Beneficio]]/Tabla1[[#This Row],[Ingresos]]</f>
        <v>0.20634920634920637</v>
      </c>
    </row>
    <row r="630" spans="1:8" x14ac:dyDescent="0.35">
      <c r="A630" s="2">
        <v>43510</v>
      </c>
      <c r="B630" t="s">
        <v>7</v>
      </c>
      <c r="C630" t="s">
        <v>11</v>
      </c>
      <c r="D630" t="s">
        <v>17</v>
      </c>
      <c r="E630" s="7">
        <v>1841.9393999999995</v>
      </c>
      <c r="F630" s="7">
        <v>1399.6499999999999</v>
      </c>
      <c r="G630" s="8">
        <f>Tabla1[[#This Row],[Ingresos]]-Tabla1[[#This Row],[Gastos]]</f>
        <v>442.28939999999966</v>
      </c>
      <c r="H630" s="13">
        <f>Tabla1[[#This Row],[Beneficio]]/Tabla1[[#This Row],[Ingresos]]</f>
        <v>0.24012158054711233</v>
      </c>
    </row>
    <row r="631" spans="1:8" x14ac:dyDescent="0.35">
      <c r="A631" s="2">
        <v>43512</v>
      </c>
      <c r="B631" t="s">
        <v>7</v>
      </c>
      <c r="C631" t="s">
        <v>13</v>
      </c>
      <c r="D631" t="s">
        <v>19</v>
      </c>
      <c r="E631" s="7">
        <v>113292.9</v>
      </c>
      <c r="F631" s="7">
        <v>96337.5</v>
      </c>
      <c r="G631" s="8">
        <f>Tabla1[[#This Row],[Ingresos]]-Tabla1[[#This Row],[Gastos]]</f>
        <v>16955.399999999994</v>
      </c>
      <c r="H631" s="13">
        <f>Tabla1[[#This Row],[Beneficio]]/Tabla1[[#This Row],[Ingresos]]</f>
        <v>0.14965986394557818</v>
      </c>
    </row>
    <row r="632" spans="1:8" x14ac:dyDescent="0.35">
      <c r="A632" s="2">
        <v>43512</v>
      </c>
      <c r="B632" t="s">
        <v>7</v>
      </c>
      <c r="C632" t="s">
        <v>10</v>
      </c>
      <c r="D632" t="s">
        <v>18</v>
      </c>
      <c r="E632" s="7">
        <v>2681.6705999999999</v>
      </c>
      <c r="F632" s="7">
        <v>2311.7849999999999</v>
      </c>
      <c r="G632" s="8">
        <f>Tabla1[[#This Row],[Ingresos]]-Tabla1[[#This Row],[Gastos]]</f>
        <v>369.88560000000007</v>
      </c>
      <c r="H632" s="13">
        <f>Tabla1[[#This Row],[Beneficio]]/Tabla1[[#This Row],[Ingresos]]</f>
        <v>0.13793103448275865</v>
      </c>
    </row>
    <row r="633" spans="1:8" x14ac:dyDescent="0.35">
      <c r="A633" s="2">
        <v>43514</v>
      </c>
      <c r="B633" t="s">
        <v>8</v>
      </c>
      <c r="C633" t="s">
        <v>43</v>
      </c>
      <c r="D633" t="s">
        <v>15</v>
      </c>
      <c r="E633" s="7">
        <v>7789.7137499999981</v>
      </c>
      <c r="F633" s="7">
        <v>5706.75</v>
      </c>
      <c r="G633" s="8">
        <f>Tabla1[[#This Row],[Ingresos]]-Tabla1[[#This Row],[Gastos]]</f>
        <v>2082.9637499999981</v>
      </c>
      <c r="H633" s="13">
        <f>Tabla1[[#This Row],[Beneficio]]/Tabla1[[#This Row],[Ingresos]]</f>
        <v>0.26739926739926723</v>
      </c>
    </row>
    <row r="634" spans="1:8" x14ac:dyDescent="0.35">
      <c r="A634" s="2">
        <v>43515</v>
      </c>
      <c r="B634" t="s">
        <v>9</v>
      </c>
      <c r="C634" t="s">
        <v>10</v>
      </c>
      <c r="D634" t="s">
        <v>16</v>
      </c>
      <c r="E634" s="7">
        <v>97018.061538461538</v>
      </c>
      <c r="F634" s="7">
        <v>84082.319999999992</v>
      </c>
      <c r="G634" s="8">
        <f>Tabla1[[#This Row],[Ingresos]]-Tabla1[[#This Row],[Gastos]]</f>
        <v>12935.741538461545</v>
      </c>
      <c r="H634" s="13">
        <f>Tabla1[[#This Row],[Beneficio]]/Tabla1[[#This Row],[Ingresos]]</f>
        <v>0.13333333333333341</v>
      </c>
    </row>
    <row r="635" spans="1:8" x14ac:dyDescent="0.35">
      <c r="A635" s="2">
        <v>43516</v>
      </c>
      <c r="B635" t="s">
        <v>7</v>
      </c>
      <c r="C635" t="s">
        <v>11</v>
      </c>
      <c r="D635" t="s">
        <v>15</v>
      </c>
      <c r="E635" s="7">
        <v>8549.7720000000008</v>
      </c>
      <c r="F635" s="7">
        <v>6477.0999999999995</v>
      </c>
      <c r="G635" s="8">
        <f>Tabla1[[#This Row],[Ingresos]]-Tabla1[[#This Row],[Gastos]]</f>
        <v>2072.6720000000014</v>
      </c>
      <c r="H635" s="13">
        <f>Tabla1[[#This Row],[Beneficio]]/Tabla1[[#This Row],[Ingresos]]</f>
        <v>0.24242424242424257</v>
      </c>
    </row>
    <row r="636" spans="1:8" x14ac:dyDescent="0.35">
      <c r="A636" s="2">
        <v>43516</v>
      </c>
      <c r="B636" t="s">
        <v>5</v>
      </c>
      <c r="C636" t="s">
        <v>10</v>
      </c>
      <c r="D636" t="s">
        <v>17</v>
      </c>
      <c r="E636" s="7">
        <v>151324.74</v>
      </c>
      <c r="F636" s="7">
        <v>118329.12</v>
      </c>
      <c r="G636" s="8">
        <f>Tabla1[[#This Row],[Ingresos]]-Tabla1[[#This Row],[Gastos]]</f>
        <v>32995.619999999995</v>
      </c>
      <c r="H636" s="13">
        <f>Tabla1[[#This Row],[Beneficio]]/Tabla1[[#This Row],[Ingresos]]</f>
        <v>0.21804511278195488</v>
      </c>
    </row>
    <row r="637" spans="1:8" x14ac:dyDescent="0.35">
      <c r="A637" s="2">
        <v>43517</v>
      </c>
      <c r="B637" t="s">
        <v>6</v>
      </c>
      <c r="C637" t="s">
        <v>12</v>
      </c>
      <c r="D637" t="s">
        <v>15</v>
      </c>
      <c r="E637" s="7">
        <v>5243.4375</v>
      </c>
      <c r="F637" s="7">
        <v>4112.5</v>
      </c>
      <c r="G637" s="8">
        <f>Tabla1[[#This Row],[Ingresos]]-Tabla1[[#This Row],[Gastos]]</f>
        <v>1130.9375</v>
      </c>
      <c r="H637" s="13">
        <f>Tabla1[[#This Row],[Beneficio]]/Tabla1[[#This Row],[Ingresos]]</f>
        <v>0.21568627450980393</v>
      </c>
    </row>
    <row r="638" spans="1:8" x14ac:dyDescent="0.35">
      <c r="A638" s="2">
        <v>43517</v>
      </c>
      <c r="B638" t="s">
        <v>8</v>
      </c>
      <c r="C638" t="s">
        <v>12</v>
      </c>
      <c r="D638" t="s">
        <v>17</v>
      </c>
      <c r="E638" s="7">
        <v>77946.75</v>
      </c>
      <c r="F638" s="7">
        <v>64336.999999999993</v>
      </c>
      <c r="G638" s="8">
        <f>Tabla1[[#This Row],[Ingresos]]-Tabla1[[#This Row],[Gastos]]</f>
        <v>13609.750000000007</v>
      </c>
      <c r="H638" s="13">
        <f>Tabla1[[#This Row],[Beneficio]]/Tabla1[[#This Row],[Ingresos]]</f>
        <v>0.1746031746031747</v>
      </c>
    </row>
    <row r="639" spans="1:8" x14ac:dyDescent="0.35">
      <c r="A639" s="2">
        <v>43518</v>
      </c>
      <c r="B639" t="s">
        <v>5</v>
      </c>
      <c r="C639" t="s">
        <v>12</v>
      </c>
      <c r="D639" t="s">
        <v>15</v>
      </c>
      <c r="E639" s="7">
        <v>17557.3125</v>
      </c>
      <c r="F639" s="7">
        <v>12862.5</v>
      </c>
      <c r="G639" s="8">
        <f>Tabla1[[#This Row],[Ingresos]]-Tabla1[[#This Row],[Gastos]]</f>
        <v>4694.8125</v>
      </c>
      <c r="H639" s="13">
        <f>Tabla1[[#This Row],[Beneficio]]/Tabla1[[#This Row],[Ingresos]]</f>
        <v>0.26739926739926739</v>
      </c>
    </row>
    <row r="640" spans="1:8" x14ac:dyDescent="0.35">
      <c r="A640" s="2">
        <v>43518</v>
      </c>
      <c r="B640" t="s">
        <v>8</v>
      </c>
      <c r="C640" t="s">
        <v>11</v>
      </c>
      <c r="D640" t="s">
        <v>15</v>
      </c>
      <c r="E640" s="7">
        <v>10384.5</v>
      </c>
      <c r="F640" s="7">
        <v>8049.9999999999991</v>
      </c>
      <c r="G640" s="8">
        <f>Tabla1[[#This Row],[Ingresos]]-Tabla1[[#This Row],[Gastos]]</f>
        <v>2334.5000000000009</v>
      </c>
      <c r="H640" s="13">
        <f>Tabla1[[#This Row],[Beneficio]]/Tabla1[[#This Row],[Ingresos]]</f>
        <v>0.22480620155038769</v>
      </c>
    </row>
    <row r="641" spans="1:8" x14ac:dyDescent="0.35">
      <c r="A641" s="2">
        <v>43519</v>
      </c>
      <c r="B641" t="s">
        <v>6</v>
      </c>
      <c r="C641" t="s">
        <v>12</v>
      </c>
      <c r="D641" t="s">
        <v>17</v>
      </c>
      <c r="E641" s="7">
        <v>24557.510319999998</v>
      </c>
      <c r="F641" s="7">
        <v>19066.39</v>
      </c>
      <c r="G641" s="8">
        <f>Tabla1[[#This Row],[Ingresos]]-Tabla1[[#This Row],[Gastos]]</f>
        <v>5491.1203199999982</v>
      </c>
      <c r="H641" s="13">
        <f>Tabla1[[#This Row],[Beneficio]]/Tabla1[[#This Row],[Ingresos]]</f>
        <v>0.22360248447204964</v>
      </c>
    </row>
    <row r="642" spans="1:8" x14ac:dyDescent="0.35">
      <c r="A642" s="2">
        <v>43521</v>
      </c>
      <c r="B642" t="s">
        <v>6</v>
      </c>
      <c r="C642" t="s">
        <v>10</v>
      </c>
      <c r="D642" t="s">
        <v>19</v>
      </c>
      <c r="E642" s="7">
        <v>65423.084999999999</v>
      </c>
      <c r="F642" s="7">
        <v>59911.249999999993</v>
      </c>
      <c r="G642" s="8">
        <f>Tabla1[[#This Row],[Ingresos]]-Tabla1[[#This Row],[Gastos]]</f>
        <v>5511.8350000000064</v>
      </c>
      <c r="H642" s="13">
        <f>Tabla1[[#This Row],[Beneficio]]/Tabla1[[#This Row],[Ingresos]]</f>
        <v>8.4249084249084352E-2</v>
      </c>
    </row>
    <row r="643" spans="1:8" x14ac:dyDescent="0.35">
      <c r="A643" s="2">
        <v>43523</v>
      </c>
      <c r="B643" t="s">
        <v>7</v>
      </c>
      <c r="C643" t="s">
        <v>12</v>
      </c>
      <c r="D643" t="s">
        <v>16</v>
      </c>
      <c r="E643" s="7">
        <v>91106.177884615376</v>
      </c>
      <c r="F643" s="7">
        <v>76566</v>
      </c>
      <c r="G643" s="8">
        <f>Tabla1[[#This Row],[Ingresos]]-Tabla1[[#This Row],[Gastos]]</f>
        <v>14540.177884615376</v>
      </c>
      <c r="H643" s="13">
        <f>Tabla1[[#This Row],[Beneficio]]/Tabla1[[#This Row],[Ingresos]]</f>
        <v>0.15959595959595951</v>
      </c>
    </row>
    <row r="644" spans="1:8" x14ac:dyDescent="0.35">
      <c r="A644" s="2">
        <v>43524</v>
      </c>
      <c r="B644" t="s">
        <v>8</v>
      </c>
      <c r="C644" t="s">
        <v>13</v>
      </c>
      <c r="D644" t="s">
        <v>16</v>
      </c>
      <c r="E644" s="7">
        <v>32219.350961538457</v>
      </c>
      <c r="F644" s="7">
        <v>26806.5</v>
      </c>
      <c r="G644" s="8">
        <f>Tabla1[[#This Row],[Ingresos]]-Tabla1[[#This Row],[Gastos]]</f>
        <v>5412.8509615384573</v>
      </c>
      <c r="H644" s="13">
        <f>Tabla1[[#This Row],[Beneficio]]/Tabla1[[#This Row],[Ingresos]]</f>
        <v>0.1679999999999999</v>
      </c>
    </row>
    <row r="645" spans="1:8" x14ac:dyDescent="0.35">
      <c r="A645" s="2">
        <v>43524</v>
      </c>
      <c r="B645" t="s">
        <v>7</v>
      </c>
      <c r="C645" t="s">
        <v>12</v>
      </c>
      <c r="D645" t="s">
        <v>16</v>
      </c>
      <c r="E645" s="7">
        <v>88922.61706730767</v>
      </c>
      <c r="F645" s="7">
        <v>83127.66</v>
      </c>
      <c r="G645" s="8">
        <f>Tabla1[[#This Row],[Ingresos]]-Tabla1[[#This Row],[Gastos]]</f>
        <v>5794.9570673076669</v>
      </c>
      <c r="H645" s="13">
        <f>Tabla1[[#This Row],[Beneficio]]/Tabla1[[#This Row],[Ingresos]]</f>
        <v>6.516853932584242E-2</v>
      </c>
    </row>
    <row r="646" spans="1:8" x14ac:dyDescent="0.35">
      <c r="A646" s="2">
        <v>43525</v>
      </c>
      <c r="B646" t="s">
        <v>8</v>
      </c>
      <c r="C646" t="s">
        <v>10</v>
      </c>
      <c r="D646" t="s">
        <v>17</v>
      </c>
      <c r="E646" s="7">
        <v>9998.351999999999</v>
      </c>
      <c r="F646" s="7">
        <v>7439.2499999999991</v>
      </c>
      <c r="G646" s="8">
        <f>Tabla1[[#This Row],[Ingresos]]-Tabla1[[#This Row],[Gastos]]</f>
        <v>2559.1019999999999</v>
      </c>
      <c r="H646" s="13">
        <f>Tabla1[[#This Row],[Beneficio]]/Tabla1[[#This Row],[Ingresos]]</f>
        <v>0.25595238095238099</v>
      </c>
    </row>
    <row r="647" spans="1:8" x14ac:dyDescent="0.35">
      <c r="A647" s="2">
        <v>43525</v>
      </c>
      <c r="B647" t="s">
        <v>9</v>
      </c>
      <c r="C647" t="s">
        <v>10</v>
      </c>
      <c r="D647" t="s">
        <v>17</v>
      </c>
      <c r="E647" s="7">
        <v>497572.94999999995</v>
      </c>
      <c r="F647" s="7">
        <v>369625.61999999994</v>
      </c>
      <c r="G647" s="8">
        <f>Tabla1[[#This Row],[Ingresos]]-Tabla1[[#This Row],[Gastos]]</f>
        <v>127947.33000000002</v>
      </c>
      <c r="H647" s="13">
        <f>Tabla1[[#This Row],[Beneficio]]/Tabla1[[#This Row],[Ingresos]]</f>
        <v>0.25714285714285717</v>
      </c>
    </row>
    <row r="648" spans="1:8" x14ac:dyDescent="0.35">
      <c r="A648" s="2">
        <v>43526</v>
      </c>
      <c r="B648" t="s">
        <v>8</v>
      </c>
      <c r="C648" t="s">
        <v>10</v>
      </c>
      <c r="D648" t="s">
        <v>15</v>
      </c>
      <c r="E648" s="7">
        <v>7869.6449999999995</v>
      </c>
      <c r="F648" s="7">
        <v>6100.5</v>
      </c>
      <c r="G648" s="8">
        <f>Tabla1[[#This Row],[Ingresos]]-Tabla1[[#This Row],[Gastos]]</f>
        <v>1769.1449999999995</v>
      </c>
      <c r="H648" s="13">
        <f>Tabla1[[#This Row],[Beneficio]]/Tabla1[[#This Row],[Ingresos]]</f>
        <v>0.22480620155038755</v>
      </c>
    </row>
    <row r="649" spans="1:8" x14ac:dyDescent="0.35">
      <c r="A649" s="2">
        <v>43526</v>
      </c>
      <c r="B649" t="s">
        <v>6</v>
      </c>
      <c r="C649" t="s">
        <v>11</v>
      </c>
      <c r="D649" t="s">
        <v>17</v>
      </c>
      <c r="E649" s="7">
        <v>16398.255720000001</v>
      </c>
      <c r="F649" s="7">
        <v>12731.565000000001</v>
      </c>
      <c r="G649" s="8">
        <f>Tabla1[[#This Row],[Ingresos]]-Tabla1[[#This Row],[Gastos]]</f>
        <v>3666.6907200000005</v>
      </c>
      <c r="H649" s="13">
        <f>Tabla1[[#This Row],[Beneficio]]/Tabla1[[#This Row],[Ingresos]]</f>
        <v>0.2236024844720497</v>
      </c>
    </row>
    <row r="650" spans="1:8" x14ac:dyDescent="0.35">
      <c r="A650" s="2">
        <v>43527</v>
      </c>
      <c r="B650" t="s">
        <v>8</v>
      </c>
      <c r="C650" t="s">
        <v>13</v>
      </c>
      <c r="D650" t="s">
        <v>16</v>
      </c>
      <c r="E650" s="7">
        <v>26046.5625</v>
      </c>
      <c r="F650" s="7">
        <v>23814</v>
      </c>
      <c r="G650" s="8">
        <f>Tabla1[[#This Row],[Ingresos]]-Tabla1[[#This Row],[Gastos]]</f>
        <v>2232.5625</v>
      </c>
      <c r="H650" s="13">
        <f>Tabla1[[#This Row],[Beneficio]]/Tabla1[[#This Row],[Ingresos]]</f>
        <v>8.5714285714285715E-2</v>
      </c>
    </row>
    <row r="651" spans="1:8" x14ac:dyDescent="0.35">
      <c r="A651" s="2">
        <v>43527</v>
      </c>
      <c r="B651" t="s">
        <v>7</v>
      </c>
      <c r="C651" t="s">
        <v>12</v>
      </c>
      <c r="D651" t="s">
        <v>17</v>
      </c>
      <c r="E651" s="7">
        <v>3638.7890000000002</v>
      </c>
      <c r="F651" s="7">
        <v>3022.25</v>
      </c>
      <c r="G651" s="8">
        <f>Tabla1[[#This Row],[Ingresos]]-Tabla1[[#This Row],[Gastos]]</f>
        <v>616.53900000000021</v>
      </c>
      <c r="H651" s="13">
        <f>Tabla1[[#This Row],[Beneficio]]/Tabla1[[#This Row],[Ingresos]]</f>
        <v>0.16943521594684391</v>
      </c>
    </row>
    <row r="652" spans="1:8" x14ac:dyDescent="0.35">
      <c r="A652" s="2">
        <v>43528</v>
      </c>
      <c r="B652" t="s">
        <v>5</v>
      </c>
      <c r="C652" t="s">
        <v>10</v>
      </c>
      <c r="D652" t="s">
        <v>17</v>
      </c>
      <c r="E652" s="7">
        <v>2811.0599999999995</v>
      </c>
      <c r="F652" s="7">
        <v>1527.75</v>
      </c>
      <c r="G652" s="8">
        <f>Tabla1[[#This Row],[Ingresos]]-Tabla1[[#This Row],[Gastos]]</f>
        <v>1283.3099999999995</v>
      </c>
      <c r="H652" s="13">
        <f>Tabla1[[#This Row],[Beneficio]]/Tabla1[[#This Row],[Ingresos]]</f>
        <v>0.4565217391304347</v>
      </c>
    </row>
    <row r="653" spans="1:8" x14ac:dyDescent="0.35">
      <c r="A653" s="2">
        <v>43528</v>
      </c>
      <c r="B653" t="s">
        <v>6</v>
      </c>
      <c r="C653" t="s">
        <v>10</v>
      </c>
      <c r="D653" t="s">
        <v>18</v>
      </c>
      <c r="E653" s="7">
        <v>1764.336</v>
      </c>
      <c r="F653" s="7">
        <v>1486.8</v>
      </c>
      <c r="G653" s="8">
        <f>Tabla1[[#This Row],[Ingresos]]-Tabla1[[#This Row],[Gastos]]</f>
        <v>277.53600000000006</v>
      </c>
      <c r="H653" s="13">
        <f>Tabla1[[#This Row],[Beneficio]]/Tabla1[[#This Row],[Ingresos]]</f>
        <v>0.15730337078651688</v>
      </c>
    </row>
    <row r="654" spans="1:8" x14ac:dyDescent="0.35">
      <c r="A654" s="2">
        <v>43529</v>
      </c>
      <c r="B654" t="s">
        <v>7</v>
      </c>
      <c r="C654" t="s">
        <v>11</v>
      </c>
      <c r="D654" t="s">
        <v>15</v>
      </c>
      <c r="E654" s="7">
        <v>10078.5825</v>
      </c>
      <c r="F654" s="7">
        <v>7549.4999999999991</v>
      </c>
      <c r="G654" s="8">
        <f>Tabla1[[#This Row],[Ingresos]]-Tabla1[[#This Row],[Gastos]]</f>
        <v>2529.0825000000013</v>
      </c>
      <c r="H654" s="13">
        <f>Tabla1[[#This Row],[Beneficio]]/Tabla1[[#This Row],[Ingresos]]</f>
        <v>0.25093632958801509</v>
      </c>
    </row>
    <row r="655" spans="1:8" x14ac:dyDescent="0.35">
      <c r="A655" s="2">
        <v>43529</v>
      </c>
      <c r="B655" t="s">
        <v>5</v>
      </c>
      <c r="C655" t="s">
        <v>11</v>
      </c>
      <c r="D655" t="s">
        <v>16</v>
      </c>
      <c r="E655" s="7">
        <v>159382.27644230769</v>
      </c>
      <c r="F655" s="7">
        <v>139585.32</v>
      </c>
      <c r="G655" s="8">
        <f>Tabla1[[#This Row],[Ingresos]]-Tabla1[[#This Row],[Gastos]]</f>
        <v>19796.956442307681</v>
      </c>
      <c r="H655" s="13">
        <f>Tabla1[[#This Row],[Beneficio]]/Tabla1[[#This Row],[Ingresos]]</f>
        <v>0.12421052631578941</v>
      </c>
    </row>
    <row r="656" spans="1:8" x14ac:dyDescent="0.35">
      <c r="A656" s="2">
        <v>43529</v>
      </c>
      <c r="B656" t="s">
        <v>7</v>
      </c>
      <c r="C656" t="s">
        <v>43</v>
      </c>
      <c r="D656" t="s">
        <v>17</v>
      </c>
      <c r="E656" s="7">
        <v>26811.338399999997</v>
      </c>
      <c r="F656" s="7">
        <v>15233.715</v>
      </c>
      <c r="G656" s="8">
        <f>Tabla1[[#This Row],[Ingresos]]-Tabla1[[#This Row],[Gastos]]</f>
        <v>11577.623399999997</v>
      </c>
      <c r="H656" s="13">
        <f>Tabla1[[#This Row],[Beneficio]]/Tabla1[[#This Row],[Ingresos]]</f>
        <v>0.43181818181818177</v>
      </c>
    </row>
    <row r="657" spans="1:8" x14ac:dyDescent="0.35">
      <c r="A657" s="2">
        <v>43530</v>
      </c>
      <c r="B657" t="s">
        <v>6</v>
      </c>
      <c r="C657" t="s">
        <v>10</v>
      </c>
      <c r="D657" t="s">
        <v>16</v>
      </c>
      <c r="E657" s="7">
        <v>40022.163461538454</v>
      </c>
      <c r="F657" s="7">
        <v>33978</v>
      </c>
      <c r="G657" s="8">
        <f>Tabla1[[#This Row],[Ingresos]]-Tabla1[[#This Row],[Gastos]]</f>
        <v>6044.1634615384537</v>
      </c>
      <c r="H657" s="13">
        <f>Tabla1[[#This Row],[Beneficio]]/Tabla1[[#This Row],[Ingresos]]</f>
        <v>0.15102040816326515</v>
      </c>
    </row>
    <row r="658" spans="1:8" x14ac:dyDescent="0.35">
      <c r="A658" s="2">
        <v>43531</v>
      </c>
      <c r="B658" t="s">
        <v>6</v>
      </c>
      <c r="C658" t="s">
        <v>12</v>
      </c>
      <c r="D658" t="s">
        <v>17</v>
      </c>
      <c r="E658" s="7">
        <v>9306.1290000000008</v>
      </c>
      <c r="F658" s="7">
        <v>6647.2350000000006</v>
      </c>
      <c r="G658" s="8">
        <f>Tabla1[[#This Row],[Ingresos]]-Tabla1[[#This Row],[Gastos]]</f>
        <v>2658.8940000000002</v>
      </c>
      <c r="H658" s="13">
        <f>Tabla1[[#This Row],[Beneficio]]/Tabla1[[#This Row],[Ingresos]]</f>
        <v>0.2857142857142857</v>
      </c>
    </row>
    <row r="659" spans="1:8" x14ac:dyDescent="0.35">
      <c r="A659" s="2">
        <v>43532</v>
      </c>
      <c r="B659" t="s">
        <v>5</v>
      </c>
      <c r="C659" t="s">
        <v>11</v>
      </c>
      <c r="D659" t="s">
        <v>18</v>
      </c>
      <c r="E659" s="7">
        <v>4046.0951999999993</v>
      </c>
      <c r="F659" s="7">
        <v>3570.0839999999998</v>
      </c>
      <c r="G659" s="8">
        <f>Tabla1[[#This Row],[Ingresos]]-Tabla1[[#This Row],[Gastos]]</f>
        <v>476.01119999999946</v>
      </c>
      <c r="H659" s="13">
        <f>Tabla1[[#This Row],[Beneficio]]/Tabla1[[#This Row],[Ingresos]]</f>
        <v>0.1176470588235293</v>
      </c>
    </row>
    <row r="660" spans="1:8" x14ac:dyDescent="0.35">
      <c r="A660" s="2">
        <v>43533</v>
      </c>
      <c r="B660" t="s">
        <v>6</v>
      </c>
      <c r="C660" t="s">
        <v>12</v>
      </c>
      <c r="D660" t="s">
        <v>18</v>
      </c>
      <c r="E660" s="7">
        <v>6038.7599999999993</v>
      </c>
      <c r="F660" s="7">
        <v>4977</v>
      </c>
      <c r="G660" s="8">
        <f>Tabla1[[#This Row],[Ingresos]]-Tabla1[[#This Row],[Gastos]]</f>
        <v>1061.7599999999993</v>
      </c>
      <c r="H660" s="13">
        <f>Tabla1[[#This Row],[Beneficio]]/Tabla1[[#This Row],[Ingresos]]</f>
        <v>0.17582417582417573</v>
      </c>
    </row>
    <row r="661" spans="1:8" x14ac:dyDescent="0.35">
      <c r="A661" s="2">
        <v>43534</v>
      </c>
      <c r="B661" t="s">
        <v>6</v>
      </c>
      <c r="C661" t="s">
        <v>11</v>
      </c>
      <c r="D661" t="s">
        <v>19</v>
      </c>
      <c r="E661" s="7">
        <v>935060.11199999985</v>
      </c>
      <c r="F661" s="7">
        <v>811684.125</v>
      </c>
      <c r="G661" s="8">
        <f>Tabla1[[#This Row],[Ingresos]]-Tabla1[[#This Row],[Gastos]]</f>
        <v>123375.98699999985</v>
      </c>
      <c r="H661" s="13">
        <f>Tabla1[[#This Row],[Beneficio]]/Tabla1[[#This Row],[Ingresos]]</f>
        <v>0.13194444444444431</v>
      </c>
    </row>
    <row r="662" spans="1:8" x14ac:dyDescent="0.35">
      <c r="A662" s="2">
        <v>43536</v>
      </c>
      <c r="B662" t="s">
        <v>5</v>
      </c>
      <c r="C662" t="s">
        <v>43</v>
      </c>
      <c r="D662" t="s">
        <v>19</v>
      </c>
      <c r="E662" s="7">
        <v>822386.42850000004</v>
      </c>
      <c r="F662" s="7">
        <v>753101.125</v>
      </c>
      <c r="G662" s="8">
        <f>Tabla1[[#This Row],[Ingresos]]-Tabla1[[#This Row],[Gastos]]</f>
        <v>69285.303500000038</v>
      </c>
      <c r="H662" s="13">
        <f>Tabla1[[#This Row],[Beneficio]]/Tabla1[[#This Row],[Ingresos]]</f>
        <v>8.4249084249084297E-2</v>
      </c>
    </row>
    <row r="663" spans="1:8" x14ac:dyDescent="0.35">
      <c r="A663" s="2">
        <v>43537</v>
      </c>
      <c r="B663" t="s">
        <v>6</v>
      </c>
      <c r="C663" t="s">
        <v>12</v>
      </c>
      <c r="D663" t="s">
        <v>19</v>
      </c>
      <c r="E663" s="7">
        <v>22020.6</v>
      </c>
      <c r="F663" s="7">
        <v>18725</v>
      </c>
      <c r="G663" s="8">
        <f>Tabla1[[#This Row],[Ingresos]]-Tabla1[[#This Row],[Gastos]]</f>
        <v>3295.5999999999985</v>
      </c>
      <c r="H663" s="13">
        <f>Tabla1[[#This Row],[Beneficio]]/Tabla1[[#This Row],[Ingresos]]</f>
        <v>0.14965986394557818</v>
      </c>
    </row>
    <row r="664" spans="1:8" x14ac:dyDescent="0.35">
      <c r="A664" s="2">
        <v>43537</v>
      </c>
      <c r="B664" t="s">
        <v>8</v>
      </c>
      <c r="C664" t="s">
        <v>43</v>
      </c>
      <c r="D664" t="s">
        <v>18</v>
      </c>
      <c r="E664" s="7">
        <v>2310.672</v>
      </c>
      <c r="F664" s="7">
        <v>1883.6999999999998</v>
      </c>
      <c r="G664" s="8">
        <f>Tabla1[[#This Row],[Ingresos]]-Tabla1[[#This Row],[Gastos]]</f>
        <v>426.97200000000021</v>
      </c>
      <c r="H664" s="13">
        <f>Tabla1[[#This Row],[Beneficio]]/Tabla1[[#This Row],[Ingresos]]</f>
        <v>0.18478260869565227</v>
      </c>
    </row>
    <row r="665" spans="1:8" x14ac:dyDescent="0.35">
      <c r="A665" s="2">
        <v>43538</v>
      </c>
      <c r="B665" t="s">
        <v>8</v>
      </c>
      <c r="C665" t="s">
        <v>43</v>
      </c>
      <c r="D665" t="s">
        <v>16</v>
      </c>
      <c r="E665" s="7">
        <v>72860.408653846156</v>
      </c>
      <c r="F665" s="7">
        <v>69678</v>
      </c>
      <c r="G665" s="8">
        <f>Tabla1[[#This Row],[Ingresos]]-Tabla1[[#This Row],[Gastos]]</f>
        <v>3182.4086538461561</v>
      </c>
      <c r="H665" s="13">
        <f>Tabla1[[#This Row],[Beneficio]]/Tabla1[[#This Row],[Ingresos]]</f>
        <v>4.3678160919540257E-2</v>
      </c>
    </row>
    <row r="666" spans="1:8" x14ac:dyDescent="0.35">
      <c r="A666" s="2">
        <v>43538</v>
      </c>
      <c r="B666" t="s">
        <v>9</v>
      </c>
      <c r="C666" t="s">
        <v>10</v>
      </c>
      <c r="D666" t="s">
        <v>17</v>
      </c>
      <c r="E666" s="7">
        <v>4971.54</v>
      </c>
      <c r="F666" s="7">
        <v>3737.9999999999995</v>
      </c>
      <c r="G666" s="8">
        <f>Tabla1[[#This Row],[Ingresos]]-Tabla1[[#This Row],[Gastos]]</f>
        <v>1233.5400000000004</v>
      </c>
      <c r="H666" s="13">
        <f>Tabla1[[#This Row],[Beneficio]]/Tabla1[[#This Row],[Ingresos]]</f>
        <v>0.2481203007518798</v>
      </c>
    </row>
    <row r="667" spans="1:8" x14ac:dyDescent="0.35">
      <c r="A667" s="2">
        <v>43538</v>
      </c>
      <c r="B667" t="s">
        <v>6</v>
      </c>
      <c r="C667" t="s">
        <v>10</v>
      </c>
      <c r="D667" t="s">
        <v>17</v>
      </c>
      <c r="E667" s="7">
        <v>2691.7799999999997</v>
      </c>
      <c r="F667" s="7">
        <v>1547</v>
      </c>
      <c r="G667" s="8">
        <f>Tabla1[[#This Row],[Ingresos]]-Tabla1[[#This Row],[Gastos]]</f>
        <v>1144.7799999999997</v>
      </c>
      <c r="H667" s="13">
        <f>Tabla1[[#This Row],[Beneficio]]/Tabla1[[#This Row],[Ingresos]]</f>
        <v>0.42528735632183901</v>
      </c>
    </row>
    <row r="668" spans="1:8" x14ac:dyDescent="0.35">
      <c r="A668" s="2">
        <v>43538</v>
      </c>
      <c r="B668" t="s">
        <v>9</v>
      </c>
      <c r="C668" t="s">
        <v>12</v>
      </c>
      <c r="D668" t="s">
        <v>17</v>
      </c>
      <c r="E668" s="7">
        <v>39347.279999999999</v>
      </c>
      <c r="F668" s="7">
        <v>19673.64</v>
      </c>
      <c r="G668" s="8">
        <f>Tabla1[[#This Row],[Ingresos]]-Tabla1[[#This Row],[Gastos]]</f>
        <v>19673.64</v>
      </c>
      <c r="H668" s="13">
        <f>Tabla1[[#This Row],[Beneficio]]/Tabla1[[#This Row],[Ingresos]]</f>
        <v>0.5</v>
      </c>
    </row>
    <row r="669" spans="1:8" x14ac:dyDescent="0.35">
      <c r="A669" s="2">
        <v>43539</v>
      </c>
      <c r="B669" t="s">
        <v>9</v>
      </c>
      <c r="C669" t="s">
        <v>13</v>
      </c>
      <c r="D669" t="s">
        <v>18</v>
      </c>
      <c r="E669" s="7">
        <v>7347.0599999999986</v>
      </c>
      <c r="F669" s="7">
        <v>5622.75</v>
      </c>
      <c r="G669" s="8">
        <f>Tabla1[[#This Row],[Ingresos]]-Tabla1[[#This Row],[Gastos]]</f>
        <v>1724.3099999999986</v>
      </c>
      <c r="H669" s="13">
        <f>Tabla1[[#This Row],[Beneficio]]/Tabla1[[#This Row],[Ingresos]]</f>
        <v>0.23469387755102025</v>
      </c>
    </row>
    <row r="670" spans="1:8" x14ac:dyDescent="0.35">
      <c r="A670" s="2">
        <v>43540</v>
      </c>
      <c r="B670" t="s">
        <v>9</v>
      </c>
      <c r="C670" t="s">
        <v>12</v>
      </c>
      <c r="D670" t="s">
        <v>19</v>
      </c>
      <c r="E670" s="7">
        <v>150889.19999999998</v>
      </c>
      <c r="F670" s="7">
        <v>136675</v>
      </c>
      <c r="G670" s="8">
        <f>Tabla1[[#This Row],[Ingresos]]-Tabla1[[#This Row],[Gastos]]</f>
        <v>14214.199999999983</v>
      </c>
      <c r="H670" s="13">
        <f>Tabla1[[#This Row],[Beneficio]]/Tabla1[[#This Row],[Ingresos]]</f>
        <v>9.4202898550724529E-2</v>
      </c>
    </row>
    <row r="671" spans="1:8" x14ac:dyDescent="0.35">
      <c r="A671" s="2">
        <v>43542</v>
      </c>
      <c r="B671" t="s">
        <v>5</v>
      </c>
      <c r="C671" t="s">
        <v>43</v>
      </c>
      <c r="D671" t="s">
        <v>16</v>
      </c>
      <c r="E671" s="7">
        <v>106037.88461538461</v>
      </c>
      <c r="F671" s="7">
        <v>100254</v>
      </c>
      <c r="G671" s="8">
        <f>Tabla1[[#This Row],[Ingresos]]-Tabla1[[#This Row],[Gastos]]</f>
        <v>5783.8846153846098</v>
      </c>
      <c r="H671" s="13">
        <f>Tabla1[[#This Row],[Beneficio]]/Tabla1[[#This Row],[Ingresos]]</f>
        <v>5.4545454545454494E-2</v>
      </c>
    </row>
    <row r="672" spans="1:8" x14ac:dyDescent="0.35">
      <c r="A672" s="2">
        <v>43542</v>
      </c>
      <c r="B672" t="s">
        <v>9</v>
      </c>
      <c r="C672" t="s">
        <v>11</v>
      </c>
      <c r="D672" t="s">
        <v>16</v>
      </c>
      <c r="E672" s="7">
        <v>364100.96826923068</v>
      </c>
      <c r="F672" s="7">
        <v>340373.04</v>
      </c>
      <c r="G672" s="8">
        <f>Tabla1[[#This Row],[Ingresos]]-Tabla1[[#This Row],[Gastos]]</f>
        <v>23727.928269230702</v>
      </c>
      <c r="H672" s="13">
        <f>Tabla1[[#This Row],[Beneficio]]/Tabla1[[#This Row],[Ingresos]]</f>
        <v>6.5168539325842531E-2</v>
      </c>
    </row>
    <row r="673" spans="1:8" x14ac:dyDescent="0.35">
      <c r="A673" s="2">
        <v>43542</v>
      </c>
      <c r="B673" t="s">
        <v>9</v>
      </c>
      <c r="C673" t="s">
        <v>10</v>
      </c>
      <c r="D673" t="s">
        <v>17</v>
      </c>
      <c r="E673" s="7">
        <v>5521.0259999999998</v>
      </c>
      <c r="F673" s="7">
        <v>4431</v>
      </c>
      <c r="G673" s="8">
        <f>Tabla1[[#This Row],[Ingresos]]-Tabla1[[#This Row],[Gastos]]</f>
        <v>1090.0259999999998</v>
      </c>
      <c r="H673" s="13">
        <f>Tabla1[[#This Row],[Beneficio]]/Tabla1[[#This Row],[Ingresos]]</f>
        <v>0.1974317817014446</v>
      </c>
    </row>
    <row r="674" spans="1:8" x14ac:dyDescent="0.35">
      <c r="A674" s="2">
        <v>43542</v>
      </c>
      <c r="B674" t="s">
        <v>8</v>
      </c>
      <c r="C674" t="s">
        <v>43</v>
      </c>
      <c r="D674" t="s">
        <v>19</v>
      </c>
      <c r="E674" s="7">
        <v>240433.19999999998</v>
      </c>
      <c r="F674" s="7">
        <v>213150</v>
      </c>
      <c r="G674" s="8">
        <f>Tabla1[[#This Row],[Ingresos]]-Tabla1[[#This Row],[Gastos]]</f>
        <v>27283.199999999983</v>
      </c>
      <c r="H674" s="13">
        <f>Tabla1[[#This Row],[Beneficio]]/Tabla1[[#This Row],[Ingresos]]</f>
        <v>0.11347517730496448</v>
      </c>
    </row>
    <row r="675" spans="1:8" x14ac:dyDescent="0.35">
      <c r="A675" s="2">
        <v>43543</v>
      </c>
      <c r="B675" t="s">
        <v>7</v>
      </c>
      <c r="C675" t="s">
        <v>12</v>
      </c>
      <c r="D675" t="s">
        <v>19</v>
      </c>
      <c r="E675" s="7">
        <v>30209.759999999998</v>
      </c>
      <c r="F675" s="7">
        <v>27972</v>
      </c>
      <c r="G675" s="8">
        <f>Tabla1[[#This Row],[Ingresos]]-Tabla1[[#This Row],[Gastos]]</f>
        <v>2237.7599999999984</v>
      </c>
      <c r="H675" s="13">
        <f>Tabla1[[#This Row],[Beneficio]]/Tabla1[[#This Row],[Ingresos]]</f>
        <v>7.4074074074074028E-2</v>
      </c>
    </row>
    <row r="676" spans="1:8" x14ac:dyDescent="0.35">
      <c r="A676" s="2">
        <v>43543</v>
      </c>
      <c r="B676" t="s">
        <v>8</v>
      </c>
      <c r="C676" t="s">
        <v>13</v>
      </c>
      <c r="D676" t="s">
        <v>19</v>
      </c>
      <c r="E676" s="7">
        <v>91090.125</v>
      </c>
      <c r="F676" s="7">
        <v>88265.625</v>
      </c>
      <c r="G676" s="8">
        <f>Tabla1[[#This Row],[Ingresos]]-Tabla1[[#This Row],[Gastos]]</f>
        <v>2824.5</v>
      </c>
      <c r="H676" s="13">
        <f>Tabla1[[#This Row],[Beneficio]]/Tabla1[[#This Row],[Ingresos]]</f>
        <v>3.1007751937984496E-2</v>
      </c>
    </row>
    <row r="677" spans="1:8" x14ac:dyDescent="0.35">
      <c r="A677" s="2">
        <v>43543</v>
      </c>
      <c r="B677" t="s">
        <v>5</v>
      </c>
      <c r="C677" t="s">
        <v>12</v>
      </c>
      <c r="D677" t="s">
        <v>18</v>
      </c>
      <c r="E677" s="7">
        <v>25497.597509999996</v>
      </c>
      <c r="F677" s="7">
        <v>19714.63725</v>
      </c>
      <c r="G677" s="8">
        <f>Tabla1[[#This Row],[Ingresos]]-Tabla1[[#This Row],[Gastos]]</f>
        <v>5782.9602599999962</v>
      </c>
      <c r="H677" s="13">
        <f>Tabla1[[#This Row],[Beneficio]]/Tabla1[[#This Row],[Ingresos]]</f>
        <v>0.22680412371134009</v>
      </c>
    </row>
    <row r="678" spans="1:8" x14ac:dyDescent="0.35">
      <c r="A678" s="2">
        <v>43544</v>
      </c>
      <c r="B678" t="s">
        <v>5</v>
      </c>
      <c r="C678" t="s">
        <v>10</v>
      </c>
      <c r="D678" t="s">
        <v>19</v>
      </c>
      <c r="E678" s="7">
        <v>289661.39999999997</v>
      </c>
      <c r="F678" s="7">
        <v>248849.99999999997</v>
      </c>
      <c r="G678" s="8">
        <f>Tabla1[[#This Row],[Ingresos]]-Tabla1[[#This Row],[Gastos]]</f>
        <v>40811.399999999994</v>
      </c>
      <c r="H678" s="13">
        <f>Tabla1[[#This Row],[Beneficio]]/Tabla1[[#This Row],[Ingresos]]</f>
        <v>0.14089347079037801</v>
      </c>
    </row>
    <row r="679" spans="1:8" x14ac:dyDescent="0.35">
      <c r="A679" s="2">
        <v>43544</v>
      </c>
      <c r="B679" t="s">
        <v>6</v>
      </c>
      <c r="C679" t="s">
        <v>10</v>
      </c>
      <c r="D679" t="s">
        <v>18</v>
      </c>
      <c r="E679" s="7">
        <v>30563.190000000002</v>
      </c>
      <c r="F679" s="7">
        <v>22922.392499999998</v>
      </c>
      <c r="G679" s="8">
        <f>Tabla1[[#This Row],[Ingresos]]-Tabla1[[#This Row],[Gastos]]</f>
        <v>7640.7975000000042</v>
      </c>
      <c r="H679" s="13">
        <f>Tabla1[[#This Row],[Beneficio]]/Tabla1[[#This Row],[Ingresos]]</f>
        <v>0.25000000000000011</v>
      </c>
    </row>
    <row r="680" spans="1:8" x14ac:dyDescent="0.35">
      <c r="A680" s="2">
        <v>43546</v>
      </c>
      <c r="B680" t="s">
        <v>7</v>
      </c>
      <c r="C680" t="s">
        <v>11</v>
      </c>
      <c r="D680" t="s">
        <v>15</v>
      </c>
      <c r="E680" s="7">
        <v>12967.5</v>
      </c>
      <c r="F680" s="7">
        <v>8645</v>
      </c>
      <c r="G680" s="8">
        <f>Tabla1[[#This Row],[Ingresos]]-Tabla1[[#This Row],[Gastos]]</f>
        <v>4322.5</v>
      </c>
      <c r="H680" s="13">
        <f>Tabla1[[#This Row],[Beneficio]]/Tabla1[[#This Row],[Ingresos]]</f>
        <v>0.33333333333333331</v>
      </c>
    </row>
    <row r="681" spans="1:8" x14ac:dyDescent="0.35">
      <c r="A681" s="2">
        <v>43547</v>
      </c>
      <c r="B681" t="s">
        <v>5</v>
      </c>
      <c r="C681" t="s">
        <v>43</v>
      </c>
      <c r="D681" t="s">
        <v>17</v>
      </c>
      <c r="E681" s="7">
        <v>31933.3</v>
      </c>
      <c r="F681" s="7">
        <v>24206</v>
      </c>
      <c r="G681" s="8">
        <f>Tabla1[[#This Row],[Ingresos]]-Tabla1[[#This Row],[Gastos]]</f>
        <v>7727.2999999999993</v>
      </c>
      <c r="H681" s="13">
        <f>Tabla1[[#This Row],[Beneficio]]/Tabla1[[#This Row],[Ingresos]]</f>
        <v>0.24198250728862972</v>
      </c>
    </row>
    <row r="682" spans="1:8" x14ac:dyDescent="0.35">
      <c r="A682" s="2">
        <v>43547</v>
      </c>
      <c r="B682" t="s">
        <v>7</v>
      </c>
      <c r="C682" t="s">
        <v>13</v>
      </c>
      <c r="D682" t="s">
        <v>17</v>
      </c>
      <c r="E682" s="7">
        <v>16593.990139999998</v>
      </c>
      <c r="F682" s="7">
        <v>12609.414999999999</v>
      </c>
      <c r="G682" s="8">
        <f>Tabla1[[#This Row],[Ingresos]]-Tabla1[[#This Row],[Gastos]]</f>
        <v>3984.575139999999</v>
      </c>
      <c r="H682" s="13">
        <f>Tabla1[[#This Row],[Beneficio]]/Tabla1[[#This Row],[Ingresos]]</f>
        <v>0.24012158054711244</v>
      </c>
    </row>
    <row r="683" spans="1:8" x14ac:dyDescent="0.35">
      <c r="A683" s="2">
        <v>43547</v>
      </c>
      <c r="B683" t="s">
        <v>9</v>
      </c>
      <c r="C683" t="s">
        <v>12</v>
      </c>
      <c r="D683" t="s">
        <v>18</v>
      </c>
      <c r="E683" s="7">
        <v>8674.0348799999974</v>
      </c>
      <c r="F683" s="7">
        <v>6706.7280000000001</v>
      </c>
      <c r="G683" s="8">
        <f>Tabla1[[#This Row],[Ingresos]]-Tabla1[[#This Row],[Gastos]]</f>
        <v>1967.3068799999974</v>
      </c>
      <c r="H683" s="13">
        <f>Tabla1[[#This Row],[Beneficio]]/Tabla1[[#This Row],[Ingresos]]</f>
        <v>0.22680412371133998</v>
      </c>
    </row>
    <row r="684" spans="1:8" x14ac:dyDescent="0.35">
      <c r="A684" s="2">
        <v>43548</v>
      </c>
      <c r="B684" t="s">
        <v>8</v>
      </c>
      <c r="C684" t="s">
        <v>13</v>
      </c>
      <c r="D684" t="s">
        <v>18</v>
      </c>
      <c r="E684" s="7">
        <v>38665.685519999999</v>
      </c>
      <c r="F684" s="7">
        <v>30850.280999999999</v>
      </c>
      <c r="G684" s="8">
        <f>Tabla1[[#This Row],[Ingresos]]-Tabla1[[#This Row],[Gastos]]</f>
        <v>7815.40452</v>
      </c>
      <c r="H684" s="13">
        <f>Tabla1[[#This Row],[Beneficio]]/Tabla1[[#This Row],[Ingresos]]</f>
        <v>0.2021276595744681</v>
      </c>
    </row>
    <row r="685" spans="1:8" x14ac:dyDescent="0.35">
      <c r="A685" s="2">
        <v>43549</v>
      </c>
      <c r="B685" t="s">
        <v>8</v>
      </c>
      <c r="C685" t="s">
        <v>11</v>
      </c>
      <c r="D685" t="s">
        <v>18</v>
      </c>
      <c r="E685" s="7">
        <v>9076.4519999999993</v>
      </c>
      <c r="F685" s="7">
        <v>7241.8499999999995</v>
      </c>
      <c r="G685" s="8">
        <f>Tabla1[[#This Row],[Ingresos]]-Tabla1[[#This Row],[Gastos]]</f>
        <v>1834.6019999999999</v>
      </c>
      <c r="H685" s="13">
        <f>Tabla1[[#This Row],[Beneficio]]/Tabla1[[#This Row],[Ingresos]]</f>
        <v>0.20212765957446807</v>
      </c>
    </row>
    <row r="686" spans="1:8" x14ac:dyDescent="0.35">
      <c r="A686" s="2">
        <v>43550</v>
      </c>
      <c r="B686" t="s">
        <v>6</v>
      </c>
      <c r="C686" t="s">
        <v>10</v>
      </c>
      <c r="D686" t="s">
        <v>17</v>
      </c>
      <c r="E686" s="7">
        <v>6700.5892800000001</v>
      </c>
      <c r="F686" s="7">
        <v>4934.16</v>
      </c>
      <c r="G686" s="8">
        <f>Tabla1[[#This Row],[Ingresos]]-Tabla1[[#This Row],[Gastos]]</f>
        <v>1766.4292800000003</v>
      </c>
      <c r="H686" s="13">
        <f>Tabla1[[#This Row],[Beneficio]]/Tabla1[[#This Row],[Ingresos]]</f>
        <v>0.26362297496318121</v>
      </c>
    </row>
    <row r="687" spans="1:8" x14ac:dyDescent="0.35">
      <c r="A687" s="2">
        <v>43550</v>
      </c>
      <c r="B687" t="s">
        <v>6</v>
      </c>
      <c r="C687" t="s">
        <v>11</v>
      </c>
      <c r="D687" t="s">
        <v>17</v>
      </c>
      <c r="E687" s="7">
        <v>969419.50349999999</v>
      </c>
      <c r="F687" s="7">
        <v>742412.57999999984</v>
      </c>
      <c r="G687" s="8">
        <f>Tabla1[[#This Row],[Ingresos]]-Tabla1[[#This Row],[Gastos]]</f>
        <v>227006.92350000015</v>
      </c>
      <c r="H687" s="13">
        <f>Tabla1[[#This Row],[Beneficio]]/Tabla1[[#This Row],[Ingresos]]</f>
        <v>0.23416789396170856</v>
      </c>
    </row>
    <row r="688" spans="1:8" x14ac:dyDescent="0.35">
      <c r="A688" s="2">
        <v>43550</v>
      </c>
      <c r="B688" t="s">
        <v>9</v>
      </c>
      <c r="C688" t="s">
        <v>11</v>
      </c>
      <c r="D688" t="s">
        <v>19</v>
      </c>
      <c r="E688" s="7">
        <v>80608.5</v>
      </c>
      <c r="F688" s="7">
        <v>74637.5</v>
      </c>
      <c r="G688" s="8">
        <f>Tabla1[[#This Row],[Ingresos]]-Tabla1[[#This Row],[Gastos]]</f>
        <v>5971</v>
      </c>
      <c r="H688" s="13">
        <f>Tabla1[[#This Row],[Beneficio]]/Tabla1[[#This Row],[Ingresos]]</f>
        <v>7.407407407407407E-2</v>
      </c>
    </row>
    <row r="689" spans="1:8" x14ac:dyDescent="0.35">
      <c r="A689" s="2">
        <v>43551</v>
      </c>
      <c r="B689" t="s">
        <v>6</v>
      </c>
      <c r="C689" t="s">
        <v>12</v>
      </c>
      <c r="D689" t="s">
        <v>17</v>
      </c>
      <c r="E689" s="7">
        <v>5530.0236249999998</v>
      </c>
      <c r="F689" s="7">
        <v>4157.9124999999995</v>
      </c>
      <c r="G689" s="8">
        <f>Tabla1[[#This Row],[Ingresos]]-Tabla1[[#This Row],[Gastos]]</f>
        <v>1372.1111250000004</v>
      </c>
      <c r="H689" s="13">
        <f>Tabla1[[#This Row],[Beneficio]]/Tabla1[[#This Row],[Ingresos]]</f>
        <v>0.24812030075187977</v>
      </c>
    </row>
    <row r="690" spans="1:8" x14ac:dyDescent="0.35">
      <c r="A690" s="2">
        <v>43552</v>
      </c>
      <c r="B690" t="s">
        <v>6</v>
      </c>
      <c r="C690" t="s">
        <v>13</v>
      </c>
      <c r="D690" t="s">
        <v>18</v>
      </c>
      <c r="E690" s="7">
        <v>3701.5019999999995</v>
      </c>
      <c r="F690" s="7">
        <v>3190.95</v>
      </c>
      <c r="G690" s="8">
        <f>Tabla1[[#This Row],[Ingresos]]-Tabla1[[#This Row],[Gastos]]</f>
        <v>510.55199999999968</v>
      </c>
      <c r="H690" s="13">
        <f>Tabla1[[#This Row],[Beneficio]]/Tabla1[[#This Row],[Ingresos]]</f>
        <v>0.13793103448275856</v>
      </c>
    </row>
    <row r="691" spans="1:8" x14ac:dyDescent="0.35">
      <c r="A691" s="2">
        <v>43553</v>
      </c>
      <c r="B691" t="s">
        <v>5</v>
      </c>
      <c r="C691" t="s">
        <v>10</v>
      </c>
      <c r="D691" t="s">
        <v>17</v>
      </c>
      <c r="E691" s="7">
        <v>40715.060400000002</v>
      </c>
      <c r="F691" s="7">
        <v>20772.989999999998</v>
      </c>
      <c r="G691" s="8">
        <f>Tabla1[[#This Row],[Ingresos]]-Tabla1[[#This Row],[Gastos]]</f>
        <v>19942.070400000004</v>
      </c>
      <c r="H691" s="13">
        <f>Tabla1[[#This Row],[Beneficio]]/Tabla1[[#This Row],[Ingresos]]</f>
        <v>0.48979591836734704</v>
      </c>
    </row>
    <row r="692" spans="1:8" x14ac:dyDescent="0.35">
      <c r="A692" s="2">
        <v>43553</v>
      </c>
      <c r="B692" t="s">
        <v>9</v>
      </c>
      <c r="C692" t="s">
        <v>12</v>
      </c>
      <c r="D692" t="s">
        <v>18</v>
      </c>
      <c r="E692" s="7">
        <v>5031.5159999999996</v>
      </c>
      <c r="F692" s="7">
        <v>4387.95</v>
      </c>
      <c r="G692" s="8">
        <f>Tabla1[[#This Row],[Ingresos]]-Tabla1[[#This Row],[Gastos]]</f>
        <v>643.5659999999998</v>
      </c>
      <c r="H692" s="13">
        <f>Tabla1[[#This Row],[Beneficio]]/Tabla1[[#This Row],[Ingresos]]</f>
        <v>0.12790697674418602</v>
      </c>
    </row>
    <row r="693" spans="1:8" x14ac:dyDescent="0.35">
      <c r="A693" s="2">
        <v>43554</v>
      </c>
      <c r="B693" t="s">
        <v>6</v>
      </c>
      <c r="C693" t="s">
        <v>13</v>
      </c>
      <c r="D693" t="s">
        <v>18</v>
      </c>
      <c r="E693" s="7">
        <v>6467.579999999999</v>
      </c>
      <c r="F693" s="7">
        <v>5575.5</v>
      </c>
      <c r="G693" s="8">
        <f>Tabla1[[#This Row],[Ingresos]]-Tabla1[[#This Row],[Gastos]]</f>
        <v>892.07999999999902</v>
      </c>
      <c r="H693" s="13">
        <f>Tabla1[[#This Row],[Beneficio]]/Tabla1[[#This Row],[Ingresos]]</f>
        <v>0.13793103448275848</v>
      </c>
    </row>
    <row r="694" spans="1:8" x14ac:dyDescent="0.35">
      <c r="A694" s="2">
        <v>43554</v>
      </c>
      <c r="B694" t="s">
        <v>9</v>
      </c>
      <c r="C694" t="s">
        <v>43</v>
      </c>
      <c r="D694" t="s">
        <v>18</v>
      </c>
      <c r="E694" s="7">
        <v>5031.5159999999996</v>
      </c>
      <c r="F694" s="7">
        <v>4387.95</v>
      </c>
      <c r="G694" s="8">
        <f>Tabla1[[#This Row],[Ingresos]]-Tabla1[[#This Row],[Gastos]]</f>
        <v>643.5659999999998</v>
      </c>
      <c r="H694" s="13">
        <f>Tabla1[[#This Row],[Beneficio]]/Tabla1[[#This Row],[Ingresos]]</f>
        <v>0.12790697674418602</v>
      </c>
    </row>
    <row r="695" spans="1:8" x14ac:dyDescent="0.35">
      <c r="A695" s="2">
        <v>43555</v>
      </c>
      <c r="B695" t="s">
        <v>5</v>
      </c>
      <c r="C695" t="s">
        <v>11</v>
      </c>
      <c r="D695" t="s">
        <v>17</v>
      </c>
      <c r="E695" s="7">
        <v>106290.79999999999</v>
      </c>
      <c r="F695" s="7">
        <v>89726</v>
      </c>
      <c r="G695" s="8">
        <f>Tabla1[[#This Row],[Ingresos]]-Tabla1[[#This Row],[Gastos]]</f>
        <v>16564.799999999988</v>
      </c>
      <c r="H695" s="13">
        <f>Tabla1[[#This Row],[Beneficio]]/Tabla1[[#This Row],[Ingresos]]</f>
        <v>0.15584415584415576</v>
      </c>
    </row>
    <row r="696" spans="1:8" x14ac:dyDescent="0.35">
      <c r="A696" s="2">
        <v>43555</v>
      </c>
      <c r="B696" t="s">
        <v>5</v>
      </c>
      <c r="C696" t="s">
        <v>10</v>
      </c>
      <c r="D696" t="s">
        <v>17</v>
      </c>
      <c r="E696" s="7">
        <v>4947.4655999999986</v>
      </c>
      <c r="F696" s="7">
        <v>2688.84</v>
      </c>
      <c r="G696" s="8">
        <f>Tabla1[[#This Row],[Ingresos]]-Tabla1[[#This Row],[Gastos]]</f>
        <v>2258.6255999999985</v>
      </c>
      <c r="H696" s="13">
        <f>Tabla1[[#This Row],[Beneficio]]/Tabla1[[#This Row],[Ingresos]]</f>
        <v>0.45652173913043459</v>
      </c>
    </row>
    <row r="697" spans="1:8" x14ac:dyDescent="0.35">
      <c r="A697" s="2">
        <v>43555</v>
      </c>
      <c r="B697" t="s">
        <v>8</v>
      </c>
      <c r="C697" t="s">
        <v>10</v>
      </c>
      <c r="D697" t="s">
        <v>19</v>
      </c>
      <c r="E697" s="7">
        <v>190866.9</v>
      </c>
      <c r="F697" s="7">
        <v>163975</v>
      </c>
      <c r="G697" s="8">
        <f>Tabla1[[#This Row],[Ingresos]]-Tabla1[[#This Row],[Gastos]]</f>
        <v>26891.899999999994</v>
      </c>
      <c r="H697" s="13">
        <f>Tabla1[[#This Row],[Beneficio]]/Tabla1[[#This Row],[Ingresos]]</f>
        <v>0.14089347079037798</v>
      </c>
    </row>
    <row r="698" spans="1:8" x14ac:dyDescent="0.35">
      <c r="A698" s="2">
        <v>43556</v>
      </c>
      <c r="B698" t="s">
        <v>7</v>
      </c>
      <c r="C698" t="s">
        <v>43</v>
      </c>
      <c r="D698" t="s">
        <v>16</v>
      </c>
      <c r="E698" s="7">
        <v>82122.115384615376</v>
      </c>
      <c r="F698" s="7">
        <v>69720</v>
      </c>
      <c r="G698" s="8">
        <f>Tabla1[[#This Row],[Ingresos]]-Tabla1[[#This Row],[Gastos]]</f>
        <v>12402.115384615376</v>
      </c>
      <c r="H698" s="13">
        <f>Tabla1[[#This Row],[Beneficio]]/Tabla1[[#This Row],[Ingresos]]</f>
        <v>0.1510204081632652</v>
      </c>
    </row>
    <row r="699" spans="1:8" x14ac:dyDescent="0.35">
      <c r="A699" s="2">
        <v>43557</v>
      </c>
      <c r="B699" t="s">
        <v>9</v>
      </c>
      <c r="C699" t="s">
        <v>10</v>
      </c>
      <c r="D699" t="s">
        <v>19</v>
      </c>
      <c r="E699" s="7">
        <v>163825.19999999998</v>
      </c>
      <c r="F699" s="7">
        <v>155137.5</v>
      </c>
      <c r="G699" s="8">
        <f>Tabla1[[#This Row],[Ingresos]]-Tabla1[[#This Row],[Gastos]]</f>
        <v>8687.6999999999825</v>
      </c>
      <c r="H699" s="13">
        <f>Tabla1[[#This Row],[Beneficio]]/Tabla1[[#This Row],[Ingresos]]</f>
        <v>5.3030303030302928E-2</v>
      </c>
    </row>
    <row r="700" spans="1:8" x14ac:dyDescent="0.35">
      <c r="A700" s="2">
        <v>43558</v>
      </c>
      <c r="B700" t="s">
        <v>6</v>
      </c>
      <c r="C700" t="s">
        <v>13</v>
      </c>
      <c r="D700" t="s">
        <v>16</v>
      </c>
      <c r="E700" s="7">
        <v>213003.60576923075</v>
      </c>
      <c r="F700" s="7">
        <v>177219</v>
      </c>
      <c r="G700" s="8">
        <f>Tabla1[[#This Row],[Ingresos]]-Tabla1[[#This Row],[Gastos]]</f>
        <v>35784.605769230751</v>
      </c>
      <c r="H700" s="13">
        <f>Tabla1[[#This Row],[Beneficio]]/Tabla1[[#This Row],[Ingresos]]</f>
        <v>0.16799999999999993</v>
      </c>
    </row>
    <row r="701" spans="1:8" x14ac:dyDescent="0.35">
      <c r="A701" s="2">
        <v>43560</v>
      </c>
      <c r="B701" t="s">
        <v>9</v>
      </c>
      <c r="C701" t="s">
        <v>43</v>
      </c>
      <c r="D701" t="s">
        <v>16</v>
      </c>
      <c r="E701" s="7">
        <v>2882.6134615384613</v>
      </c>
      <c r="F701" s="7">
        <v>1802.4999999999998</v>
      </c>
      <c r="G701" s="8">
        <f>Tabla1[[#This Row],[Ingresos]]-Tabla1[[#This Row],[Gastos]]</f>
        <v>1080.1134615384615</v>
      </c>
      <c r="H701" s="13">
        <f>Tabla1[[#This Row],[Beneficio]]/Tabla1[[#This Row],[Ingresos]]</f>
        <v>0.3746993746993747</v>
      </c>
    </row>
    <row r="702" spans="1:8" x14ac:dyDescent="0.35">
      <c r="A702" s="2">
        <v>43560</v>
      </c>
      <c r="B702" t="s">
        <v>6</v>
      </c>
      <c r="C702" t="s">
        <v>13</v>
      </c>
      <c r="D702" t="s">
        <v>17</v>
      </c>
      <c r="E702" s="7">
        <v>5269.8519999999999</v>
      </c>
      <c r="F702" s="7">
        <v>4091.4999999999995</v>
      </c>
      <c r="G702" s="8">
        <f>Tabla1[[#This Row],[Ingresos]]-Tabla1[[#This Row],[Gastos]]</f>
        <v>1178.3520000000003</v>
      </c>
      <c r="H702" s="13">
        <f>Tabla1[[#This Row],[Beneficio]]/Tabla1[[#This Row],[Ingresos]]</f>
        <v>0.22360248447204975</v>
      </c>
    </row>
    <row r="703" spans="1:8" x14ac:dyDescent="0.35">
      <c r="A703" s="2">
        <v>43561</v>
      </c>
      <c r="B703" t="s">
        <v>8</v>
      </c>
      <c r="C703" t="s">
        <v>12</v>
      </c>
      <c r="D703" t="s">
        <v>17</v>
      </c>
      <c r="E703" s="7">
        <v>7051.7999999999993</v>
      </c>
      <c r="F703" s="7">
        <v>3525.8999999999996</v>
      </c>
      <c r="G703" s="8">
        <f>Tabla1[[#This Row],[Ingresos]]-Tabla1[[#This Row],[Gastos]]</f>
        <v>3525.8999999999996</v>
      </c>
      <c r="H703" s="13">
        <f>Tabla1[[#This Row],[Beneficio]]/Tabla1[[#This Row],[Ingresos]]</f>
        <v>0.5</v>
      </c>
    </row>
    <row r="704" spans="1:8" x14ac:dyDescent="0.35">
      <c r="A704" s="2">
        <v>43561</v>
      </c>
      <c r="B704" t="s">
        <v>9</v>
      </c>
      <c r="C704" t="s">
        <v>12</v>
      </c>
      <c r="D704" t="s">
        <v>19</v>
      </c>
      <c r="E704" s="7">
        <v>247953.82499999998</v>
      </c>
      <c r="F704" s="7">
        <v>213018.75</v>
      </c>
      <c r="G704" s="8">
        <f>Tabla1[[#This Row],[Ingresos]]-Tabla1[[#This Row],[Gastos]]</f>
        <v>34935.074999999983</v>
      </c>
      <c r="H704" s="13">
        <f>Tabla1[[#This Row],[Beneficio]]/Tabla1[[#This Row],[Ingresos]]</f>
        <v>0.14089347079037795</v>
      </c>
    </row>
    <row r="705" spans="1:8" x14ac:dyDescent="0.35">
      <c r="A705" s="2">
        <v>43561</v>
      </c>
      <c r="B705" t="s">
        <v>8</v>
      </c>
      <c r="C705" t="s">
        <v>10</v>
      </c>
      <c r="D705" t="s">
        <v>19</v>
      </c>
      <c r="E705" s="7">
        <v>439087.57199999993</v>
      </c>
      <c r="F705" s="7">
        <v>397724.25</v>
      </c>
      <c r="G705" s="8">
        <f>Tabla1[[#This Row],[Ingresos]]-Tabla1[[#This Row],[Gastos]]</f>
        <v>41363.321999999927</v>
      </c>
      <c r="H705" s="13">
        <f>Tabla1[[#This Row],[Beneficio]]/Tabla1[[#This Row],[Ingresos]]</f>
        <v>9.4202898550724487E-2</v>
      </c>
    </row>
    <row r="706" spans="1:8" x14ac:dyDescent="0.35">
      <c r="A706" s="2">
        <v>43562</v>
      </c>
      <c r="B706" t="s">
        <v>6</v>
      </c>
      <c r="C706" t="s">
        <v>43</v>
      </c>
      <c r="D706" t="s">
        <v>16</v>
      </c>
      <c r="E706" s="7">
        <v>10669.615384615383</v>
      </c>
      <c r="F706" s="7">
        <v>4623.5</v>
      </c>
      <c r="G706" s="8">
        <f>Tabla1[[#This Row],[Ingresos]]-Tabla1[[#This Row],[Gastos]]</f>
        <v>6046.1153846153829</v>
      </c>
      <c r="H706" s="13">
        <f>Tabla1[[#This Row],[Beneficio]]/Tabla1[[#This Row],[Ingresos]]</f>
        <v>0.56666666666666665</v>
      </c>
    </row>
    <row r="707" spans="1:8" x14ac:dyDescent="0.35">
      <c r="A707" s="2">
        <v>43562</v>
      </c>
      <c r="B707" t="s">
        <v>6</v>
      </c>
      <c r="C707" t="s">
        <v>11</v>
      </c>
      <c r="D707" t="s">
        <v>19</v>
      </c>
      <c r="E707" s="7">
        <v>203716.8</v>
      </c>
      <c r="F707" s="7">
        <v>176837.5</v>
      </c>
      <c r="G707" s="8">
        <f>Tabla1[[#This Row],[Ingresos]]-Tabla1[[#This Row],[Gastos]]</f>
        <v>26879.299999999988</v>
      </c>
      <c r="H707" s="13">
        <f>Tabla1[[#This Row],[Beneficio]]/Tabla1[[#This Row],[Ingresos]]</f>
        <v>0.13194444444444439</v>
      </c>
    </row>
    <row r="708" spans="1:8" x14ac:dyDescent="0.35">
      <c r="A708" s="2">
        <v>43563</v>
      </c>
      <c r="B708" t="s">
        <v>6</v>
      </c>
      <c r="C708" t="s">
        <v>12</v>
      </c>
      <c r="D708" t="s">
        <v>17</v>
      </c>
      <c r="E708" s="7">
        <v>5269.8519999999999</v>
      </c>
      <c r="F708" s="7">
        <v>4091.4999999999995</v>
      </c>
      <c r="G708" s="8">
        <f>Tabla1[[#This Row],[Ingresos]]-Tabla1[[#This Row],[Gastos]]</f>
        <v>1178.3520000000003</v>
      </c>
      <c r="H708" s="13">
        <f>Tabla1[[#This Row],[Beneficio]]/Tabla1[[#This Row],[Ingresos]]</f>
        <v>0.22360248447204975</v>
      </c>
    </row>
    <row r="709" spans="1:8" x14ac:dyDescent="0.35">
      <c r="A709" s="2">
        <v>43565</v>
      </c>
      <c r="B709" t="s">
        <v>7</v>
      </c>
      <c r="C709" t="s">
        <v>10</v>
      </c>
      <c r="D709" t="s">
        <v>17</v>
      </c>
      <c r="E709" s="7">
        <v>25410.108850000001</v>
      </c>
      <c r="F709" s="7">
        <v>19105.345000000001</v>
      </c>
      <c r="G709" s="8">
        <f>Tabla1[[#This Row],[Ingresos]]-Tabla1[[#This Row],[Gastos]]</f>
        <v>6304.7638499999994</v>
      </c>
      <c r="H709" s="13">
        <f>Tabla1[[#This Row],[Beneficio]]/Tabla1[[#This Row],[Ingresos]]</f>
        <v>0.24812030075187966</v>
      </c>
    </row>
    <row r="710" spans="1:8" x14ac:dyDescent="0.35">
      <c r="A710" s="2">
        <v>43566</v>
      </c>
      <c r="B710" t="s">
        <v>6</v>
      </c>
      <c r="C710" t="s">
        <v>13</v>
      </c>
      <c r="D710" t="s">
        <v>16</v>
      </c>
      <c r="E710" s="7">
        <v>920175.57692307688</v>
      </c>
      <c r="F710" s="7">
        <v>765586.07999999984</v>
      </c>
      <c r="G710" s="8">
        <f>Tabla1[[#This Row],[Ingresos]]-Tabla1[[#This Row],[Gastos]]</f>
        <v>154589.49692307704</v>
      </c>
      <c r="H710" s="13">
        <f>Tabla1[[#This Row],[Beneficio]]/Tabla1[[#This Row],[Ingresos]]</f>
        <v>0.16800000000000012</v>
      </c>
    </row>
    <row r="711" spans="1:8" x14ac:dyDescent="0.35">
      <c r="A711" s="2">
        <v>43566</v>
      </c>
      <c r="B711" t="s">
        <v>6</v>
      </c>
      <c r="C711" t="s">
        <v>10</v>
      </c>
      <c r="D711" t="s">
        <v>17</v>
      </c>
      <c r="E711" s="7">
        <v>4653.1869999999999</v>
      </c>
      <c r="F711" s="7">
        <v>3426.5</v>
      </c>
      <c r="G711" s="8">
        <f>Tabla1[[#This Row],[Ingresos]]-Tabla1[[#This Row],[Gastos]]</f>
        <v>1226.6869999999999</v>
      </c>
      <c r="H711" s="13">
        <f>Tabla1[[#This Row],[Beneficio]]/Tabla1[[#This Row],[Ingresos]]</f>
        <v>0.26362297496318116</v>
      </c>
    </row>
    <row r="712" spans="1:8" x14ac:dyDescent="0.35">
      <c r="A712" s="2">
        <v>43566</v>
      </c>
      <c r="B712" t="s">
        <v>8</v>
      </c>
      <c r="C712" t="s">
        <v>12</v>
      </c>
      <c r="D712" t="s">
        <v>19</v>
      </c>
      <c r="E712" s="7">
        <v>78398.774999999994</v>
      </c>
      <c r="F712" s="7">
        <v>71793.75</v>
      </c>
      <c r="G712" s="8">
        <f>Tabla1[[#This Row],[Ingresos]]-Tabla1[[#This Row],[Gastos]]</f>
        <v>6605.0249999999942</v>
      </c>
      <c r="H712" s="13">
        <f>Tabla1[[#This Row],[Beneficio]]/Tabla1[[#This Row],[Ingresos]]</f>
        <v>8.4249084249084186E-2</v>
      </c>
    </row>
    <row r="713" spans="1:8" x14ac:dyDescent="0.35">
      <c r="A713" s="2">
        <v>43568</v>
      </c>
      <c r="B713" t="s">
        <v>7</v>
      </c>
      <c r="C713" t="s">
        <v>43</v>
      </c>
      <c r="D713" t="s">
        <v>16</v>
      </c>
      <c r="E713" s="7">
        <v>55149.230769230759</v>
      </c>
      <c r="F713" s="7">
        <v>47796</v>
      </c>
      <c r="G713" s="8">
        <f>Tabla1[[#This Row],[Ingresos]]-Tabla1[[#This Row],[Gastos]]</f>
        <v>7353.2307692307586</v>
      </c>
      <c r="H713" s="13">
        <f>Tabla1[[#This Row],[Beneficio]]/Tabla1[[#This Row],[Ingresos]]</f>
        <v>0.13333333333333316</v>
      </c>
    </row>
    <row r="714" spans="1:8" x14ac:dyDescent="0.35">
      <c r="A714" s="2">
        <v>43568</v>
      </c>
      <c r="B714" t="s">
        <v>8</v>
      </c>
      <c r="C714" t="s">
        <v>43</v>
      </c>
      <c r="D714" t="s">
        <v>17</v>
      </c>
      <c r="E714" s="7">
        <v>3942.3439999999996</v>
      </c>
      <c r="F714" s="7">
        <v>3164</v>
      </c>
      <c r="G714" s="8">
        <f>Tabla1[[#This Row],[Ingresos]]-Tabla1[[#This Row],[Gastos]]</f>
        <v>778.3439999999996</v>
      </c>
      <c r="H714" s="13">
        <f>Tabla1[[#This Row],[Beneficio]]/Tabla1[[#This Row],[Ingresos]]</f>
        <v>0.19743178170144454</v>
      </c>
    </row>
    <row r="715" spans="1:8" x14ac:dyDescent="0.35">
      <c r="A715" s="2">
        <v>43569</v>
      </c>
      <c r="B715" t="s">
        <v>8</v>
      </c>
      <c r="C715" t="s">
        <v>10</v>
      </c>
      <c r="D715" t="s">
        <v>15</v>
      </c>
      <c r="E715" s="7">
        <v>12244.207499999999</v>
      </c>
      <c r="F715" s="7">
        <v>9603.2999999999993</v>
      </c>
      <c r="G715" s="8">
        <f>Tabla1[[#This Row],[Ingresos]]-Tabla1[[#This Row],[Gastos]]</f>
        <v>2640.9074999999993</v>
      </c>
      <c r="H715" s="13">
        <f>Tabla1[[#This Row],[Beneficio]]/Tabla1[[#This Row],[Ingresos]]</f>
        <v>0.2156862745098039</v>
      </c>
    </row>
    <row r="716" spans="1:8" x14ac:dyDescent="0.35">
      <c r="A716" s="2">
        <v>43569</v>
      </c>
      <c r="B716" t="s">
        <v>6</v>
      </c>
      <c r="C716" t="s">
        <v>12</v>
      </c>
      <c r="D716" t="s">
        <v>17</v>
      </c>
      <c r="E716" s="7">
        <v>667517.59199999995</v>
      </c>
      <c r="F716" s="7">
        <v>538989.36</v>
      </c>
      <c r="G716" s="8">
        <f>Tabla1[[#This Row],[Ingresos]]-Tabla1[[#This Row],[Gastos]]</f>
        <v>128528.23199999996</v>
      </c>
      <c r="H716" s="13">
        <f>Tabla1[[#This Row],[Beneficio]]/Tabla1[[#This Row],[Ingresos]]</f>
        <v>0.19254658385093162</v>
      </c>
    </row>
    <row r="717" spans="1:8" x14ac:dyDescent="0.35">
      <c r="A717" s="2">
        <v>43569</v>
      </c>
      <c r="B717" t="s">
        <v>7</v>
      </c>
      <c r="C717" t="s">
        <v>13</v>
      </c>
      <c r="D717" t="s">
        <v>19</v>
      </c>
      <c r="E717" s="7">
        <v>48730.5</v>
      </c>
      <c r="F717" s="7">
        <v>47775</v>
      </c>
      <c r="G717" s="8">
        <f>Tabla1[[#This Row],[Ingresos]]-Tabla1[[#This Row],[Gastos]]</f>
        <v>955.5</v>
      </c>
      <c r="H717" s="13">
        <f>Tabla1[[#This Row],[Beneficio]]/Tabla1[[#This Row],[Ingresos]]</f>
        <v>1.9607843137254902E-2</v>
      </c>
    </row>
    <row r="718" spans="1:8" x14ac:dyDescent="0.35">
      <c r="A718" s="2">
        <v>43570</v>
      </c>
      <c r="B718" t="s">
        <v>7</v>
      </c>
      <c r="C718" t="s">
        <v>11</v>
      </c>
      <c r="D718" t="s">
        <v>18</v>
      </c>
      <c r="E718" s="7">
        <v>6640.2</v>
      </c>
      <c r="F718" s="7">
        <v>5859</v>
      </c>
      <c r="G718" s="8">
        <f>Tabla1[[#This Row],[Ingresos]]-Tabla1[[#This Row],[Gastos]]</f>
        <v>781.19999999999982</v>
      </c>
      <c r="H718" s="13">
        <f>Tabla1[[#This Row],[Beneficio]]/Tabla1[[#This Row],[Ingresos]]</f>
        <v>0.11764705882352938</v>
      </c>
    </row>
    <row r="719" spans="1:8" x14ac:dyDescent="0.35">
      <c r="A719" s="2">
        <v>43571</v>
      </c>
      <c r="B719" t="s">
        <v>8</v>
      </c>
      <c r="C719" t="s">
        <v>43</v>
      </c>
      <c r="D719" t="s">
        <v>15</v>
      </c>
      <c r="E719" s="7">
        <v>38714.877337499987</v>
      </c>
      <c r="F719" s="7">
        <v>28362.547500000001</v>
      </c>
      <c r="G719" s="8">
        <f>Tabla1[[#This Row],[Ingresos]]-Tabla1[[#This Row],[Gastos]]</f>
        <v>10352.329837499987</v>
      </c>
      <c r="H719" s="13">
        <f>Tabla1[[#This Row],[Beneficio]]/Tabla1[[#This Row],[Ingresos]]</f>
        <v>0.26739926739926717</v>
      </c>
    </row>
    <row r="720" spans="1:8" x14ac:dyDescent="0.35">
      <c r="A720" s="2">
        <v>43571</v>
      </c>
      <c r="B720" t="s">
        <v>5</v>
      </c>
      <c r="C720" t="s">
        <v>11</v>
      </c>
      <c r="D720" t="s">
        <v>16</v>
      </c>
      <c r="E720" s="7">
        <v>176939.39206730769</v>
      </c>
      <c r="F720" s="7">
        <v>148700.57999999999</v>
      </c>
      <c r="G720" s="8">
        <f>Tabla1[[#This Row],[Ingresos]]-Tabla1[[#This Row],[Gastos]]</f>
        <v>28238.812067307706</v>
      </c>
      <c r="H720" s="13">
        <f>Tabla1[[#This Row],[Beneficio]]/Tabla1[[#This Row],[Ingresos]]</f>
        <v>0.15959595959595968</v>
      </c>
    </row>
    <row r="721" spans="1:8" x14ac:dyDescent="0.35">
      <c r="A721" s="2">
        <v>43571</v>
      </c>
      <c r="B721" t="s">
        <v>8</v>
      </c>
      <c r="C721" t="s">
        <v>10</v>
      </c>
      <c r="D721" t="s">
        <v>17</v>
      </c>
      <c r="E721" s="7">
        <v>5074.1459999999997</v>
      </c>
      <c r="F721" s="7">
        <v>3660.9999999999995</v>
      </c>
      <c r="G721" s="8">
        <f>Tabla1[[#This Row],[Ingresos]]-Tabla1[[#This Row],[Gastos]]</f>
        <v>1413.1460000000002</v>
      </c>
      <c r="H721" s="13">
        <f>Tabla1[[#This Row],[Beneficio]]/Tabla1[[#This Row],[Ingresos]]</f>
        <v>0.27849927849927852</v>
      </c>
    </row>
    <row r="722" spans="1:8" x14ac:dyDescent="0.35">
      <c r="A722" s="2">
        <v>43571</v>
      </c>
      <c r="B722" t="s">
        <v>9</v>
      </c>
      <c r="C722" t="s">
        <v>10</v>
      </c>
      <c r="D722" t="s">
        <v>18</v>
      </c>
      <c r="E722" s="7">
        <v>6481.6919999999991</v>
      </c>
      <c r="F722" s="7">
        <v>5462.0999999999995</v>
      </c>
      <c r="G722" s="8">
        <f>Tabla1[[#This Row],[Ingresos]]-Tabla1[[#This Row],[Gastos]]</f>
        <v>1019.5919999999996</v>
      </c>
      <c r="H722" s="13">
        <f>Tabla1[[#This Row],[Beneficio]]/Tabla1[[#This Row],[Ingresos]]</f>
        <v>0.15730337078651682</v>
      </c>
    </row>
    <row r="723" spans="1:8" x14ac:dyDescent="0.35">
      <c r="A723" s="2">
        <v>43572</v>
      </c>
      <c r="B723" t="s">
        <v>5</v>
      </c>
      <c r="C723" t="s">
        <v>12</v>
      </c>
      <c r="D723" t="s">
        <v>17</v>
      </c>
      <c r="E723" s="7">
        <v>3959.4609249999999</v>
      </c>
      <c r="F723" s="7">
        <v>3177.7374999999997</v>
      </c>
      <c r="G723" s="8">
        <f>Tabla1[[#This Row],[Ingresos]]-Tabla1[[#This Row],[Gastos]]</f>
        <v>781.72342500000013</v>
      </c>
      <c r="H723" s="13">
        <f>Tabla1[[#This Row],[Beneficio]]/Tabla1[[#This Row],[Ingresos]]</f>
        <v>0.19743178170144465</v>
      </c>
    </row>
    <row r="724" spans="1:8" x14ac:dyDescent="0.35">
      <c r="A724" s="2">
        <v>43572</v>
      </c>
      <c r="B724" t="s">
        <v>7</v>
      </c>
      <c r="C724" t="s">
        <v>12</v>
      </c>
      <c r="D724" t="s">
        <v>18</v>
      </c>
      <c r="E724" s="7">
        <v>1402.674</v>
      </c>
      <c r="F724" s="7">
        <v>1156.05</v>
      </c>
      <c r="G724" s="8">
        <f>Tabla1[[#This Row],[Ingresos]]-Tabla1[[#This Row],[Gastos]]</f>
        <v>246.62400000000002</v>
      </c>
      <c r="H724" s="13">
        <f>Tabla1[[#This Row],[Beneficio]]/Tabla1[[#This Row],[Ingresos]]</f>
        <v>0.17582417582417584</v>
      </c>
    </row>
    <row r="725" spans="1:8" x14ac:dyDescent="0.35">
      <c r="A725" s="2">
        <v>43573</v>
      </c>
      <c r="B725" t="s">
        <v>6</v>
      </c>
      <c r="C725" t="s">
        <v>11</v>
      </c>
      <c r="D725" t="s">
        <v>17</v>
      </c>
      <c r="E725" s="7">
        <v>1192828.8049999999</v>
      </c>
      <c r="F725" s="7">
        <v>904185.1</v>
      </c>
      <c r="G725" s="8">
        <f>Tabla1[[#This Row],[Ingresos]]-Tabla1[[#This Row],[Gastos]]</f>
        <v>288643.70499999996</v>
      </c>
      <c r="H725" s="13">
        <f>Tabla1[[#This Row],[Beneficio]]/Tabla1[[#This Row],[Ingresos]]</f>
        <v>0.24198250728862972</v>
      </c>
    </row>
    <row r="726" spans="1:8" x14ac:dyDescent="0.35">
      <c r="A726" s="2">
        <v>43573</v>
      </c>
      <c r="B726" t="s">
        <v>9</v>
      </c>
      <c r="C726" t="s">
        <v>13</v>
      </c>
      <c r="D726" t="s">
        <v>17</v>
      </c>
      <c r="E726" s="7">
        <v>34126.137499999997</v>
      </c>
      <c r="F726" s="7">
        <v>17961.125</v>
      </c>
      <c r="G726" s="8">
        <f>Tabla1[[#This Row],[Ingresos]]-Tabla1[[#This Row],[Gastos]]</f>
        <v>16165.012499999997</v>
      </c>
      <c r="H726" s="13">
        <f>Tabla1[[#This Row],[Beneficio]]/Tabla1[[#This Row],[Ingresos]]</f>
        <v>0.47368421052631576</v>
      </c>
    </row>
    <row r="727" spans="1:8" x14ac:dyDescent="0.35">
      <c r="A727" s="2">
        <v>43574</v>
      </c>
      <c r="B727" t="s">
        <v>5</v>
      </c>
      <c r="C727" t="s">
        <v>12</v>
      </c>
      <c r="D727" t="s">
        <v>17</v>
      </c>
      <c r="E727" s="7">
        <v>465442.86599999998</v>
      </c>
      <c r="F727" s="7">
        <v>371782.31999999995</v>
      </c>
      <c r="G727" s="8">
        <f>Tabla1[[#This Row],[Ingresos]]-Tabla1[[#This Row],[Gastos]]</f>
        <v>93660.546000000031</v>
      </c>
      <c r="H727" s="13">
        <f>Tabla1[[#This Row],[Beneficio]]/Tabla1[[#This Row],[Ingresos]]</f>
        <v>0.20122887864823355</v>
      </c>
    </row>
    <row r="728" spans="1:8" x14ac:dyDescent="0.35">
      <c r="A728" s="2">
        <v>43574</v>
      </c>
      <c r="B728" t="s">
        <v>7</v>
      </c>
      <c r="C728" t="s">
        <v>12</v>
      </c>
      <c r="D728" t="s">
        <v>19</v>
      </c>
      <c r="E728" s="7">
        <v>40824</v>
      </c>
      <c r="F728" s="7">
        <v>37800</v>
      </c>
      <c r="G728" s="8">
        <f>Tabla1[[#This Row],[Ingresos]]-Tabla1[[#This Row],[Gastos]]</f>
        <v>3024</v>
      </c>
      <c r="H728" s="13">
        <f>Tabla1[[#This Row],[Beneficio]]/Tabla1[[#This Row],[Ingresos]]</f>
        <v>7.407407407407407E-2</v>
      </c>
    </row>
    <row r="729" spans="1:8" x14ac:dyDescent="0.35">
      <c r="A729" s="2">
        <v>43574</v>
      </c>
      <c r="B729" t="s">
        <v>5</v>
      </c>
      <c r="C729" t="s">
        <v>43</v>
      </c>
      <c r="D729" t="s">
        <v>19</v>
      </c>
      <c r="E729" s="7">
        <v>897767.6399999999</v>
      </c>
      <c r="F729" s="7">
        <v>850158.75</v>
      </c>
      <c r="G729" s="8">
        <f>Tabla1[[#This Row],[Ingresos]]-Tabla1[[#This Row],[Gastos]]</f>
        <v>47608.889999999898</v>
      </c>
      <c r="H729" s="13">
        <f>Tabla1[[#This Row],[Beneficio]]/Tabla1[[#This Row],[Ingresos]]</f>
        <v>5.3030303030302921E-2</v>
      </c>
    </row>
    <row r="730" spans="1:8" x14ac:dyDescent="0.35">
      <c r="A730" s="2">
        <v>43575</v>
      </c>
      <c r="B730" t="s">
        <v>7</v>
      </c>
      <c r="C730" t="s">
        <v>10</v>
      </c>
      <c r="D730" t="s">
        <v>18</v>
      </c>
      <c r="E730" s="7">
        <v>4480.7699999999995</v>
      </c>
      <c r="F730" s="7">
        <v>3537.45</v>
      </c>
      <c r="G730" s="8">
        <f>Tabla1[[#This Row],[Ingresos]]-Tabla1[[#This Row],[Gastos]]</f>
        <v>943.31999999999971</v>
      </c>
      <c r="H730" s="13">
        <f>Tabla1[[#This Row],[Beneficio]]/Tabla1[[#This Row],[Ingresos]]</f>
        <v>0.21052631578947364</v>
      </c>
    </row>
    <row r="731" spans="1:8" x14ac:dyDescent="0.35">
      <c r="A731" s="2">
        <v>43575</v>
      </c>
      <c r="B731" t="s">
        <v>7</v>
      </c>
      <c r="C731" t="s">
        <v>13</v>
      </c>
      <c r="D731" t="s">
        <v>18</v>
      </c>
      <c r="E731" s="7">
        <v>1080.0589799999998</v>
      </c>
      <c r="F731" s="7">
        <v>890.15849999999989</v>
      </c>
      <c r="G731" s="8">
        <f>Tabla1[[#This Row],[Ingresos]]-Tabla1[[#This Row],[Gastos]]</f>
        <v>189.9004799999999</v>
      </c>
      <c r="H731" s="13">
        <f>Tabla1[[#This Row],[Beneficio]]/Tabla1[[#This Row],[Ingresos]]</f>
        <v>0.17582417582417575</v>
      </c>
    </row>
    <row r="732" spans="1:8" x14ac:dyDescent="0.35">
      <c r="A732" s="2">
        <v>43576</v>
      </c>
      <c r="B732" t="s">
        <v>7</v>
      </c>
      <c r="C732" t="s">
        <v>10</v>
      </c>
      <c r="D732" t="s">
        <v>15</v>
      </c>
      <c r="E732" s="7">
        <v>27283.4205</v>
      </c>
      <c r="F732" s="7">
        <v>19146.259999999998</v>
      </c>
      <c r="G732" s="8">
        <f>Tabla1[[#This Row],[Ingresos]]-Tabla1[[#This Row],[Gastos]]</f>
        <v>8137.1605000000018</v>
      </c>
      <c r="H732" s="13">
        <f>Tabla1[[#This Row],[Beneficio]]/Tabla1[[#This Row],[Ingresos]]</f>
        <v>0.29824561403508776</v>
      </c>
    </row>
    <row r="733" spans="1:8" x14ac:dyDescent="0.35">
      <c r="A733" s="2">
        <v>43576</v>
      </c>
      <c r="B733" t="s">
        <v>5</v>
      </c>
      <c r="C733" t="s">
        <v>11</v>
      </c>
      <c r="D733" t="s">
        <v>17</v>
      </c>
      <c r="E733" s="7">
        <v>181659.48849999998</v>
      </c>
      <c r="F733" s="7">
        <v>143560.69</v>
      </c>
      <c r="G733" s="8">
        <f>Tabla1[[#This Row],[Ingresos]]-Tabla1[[#This Row],[Gastos]]</f>
        <v>38098.798499999975</v>
      </c>
      <c r="H733" s="13">
        <f>Tabla1[[#This Row],[Beneficio]]/Tabla1[[#This Row],[Ingresos]]</f>
        <v>0.20972644376899685</v>
      </c>
    </row>
    <row r="734" spans="1:8" x14ac:dyDescent="0.35">
      <c r="A734" s="2">
        <v>43577</v>
      </c>
      <c r="B734" t="s">
        <v>9</v>
      </c>
      <c r="C734" t="s">
        <v>10</v>
      </c>
      <c r="D734" t="s">
        <v>16</v>
      </c>
      <c r="E734" s="7">
        <v>144803.07692307691</v>
      </c>
      <c r="F734" s="7">
        <v>125495.99999999999</v>
      </c>
      <c r="G734" s="8">
        <f>Tabla1[[#This Row],[Ingresos]]-Tabla1[[#This Row],[Gastos]]</f>
        <v>19307.076923076922</v>
      </c>
      <c r="H734" s="13">
        <f>Tabla1[[#This Row],[Beneficio]]/Tabla1[[#This Row],[Ingresos]]</f>
        <v>0.13333333333333333</v>
      </c>
    </row>
    <row r="735" spans="1:8" x14ac:dyDescent="0.35">
      <c r="A735" s="2">
        <v>43578</v>
      </c>
      <c r="B735" t="s">
        <v>7</v>
      </c>
      <c r="C735" t="s">
        <v>12</v>
      </c>
      <c r="D735" t="s">
        <v>16</v>
      </c>
      <c r="E735" s="7">
        <v>125216.43749999999</v>
      </c>
      <c r="F735" s="7">
        <v>106306.2</v>
      </c>
      <c r="G735" s="8">
        <f>Tabla1[[#This Row],[Ingresos]]-Tabla1[[#This Row],[Gastos]]</f>
        <v>18910.237499999988</v>
      </c>
      <c r="H735" s="13">
        <f>Tabla1[[#This Row],[Beneficio]]/Tabla1[[#This Row],[Ingresos]]</f>
        <v>0.15102040816326523</v>
      </c>
    </row>
    <row r="736" spans="1:8" x14ac:dyDescent="0.35">
      <c r="A736" s="2">
        <v>43578</v>
      </c>
      <c r="B736" t="s">
        <v>5</v>
      </c>
      <c r="C736" t="s">
        <v>11</v>
      </c>
      <c r="D736" t="s">
        <v>17</v>
      </c>
      <c r="E736" s="7">
        <v>16114.825999999999</v>
      </c>
      <c r="F736" s="7">
        <v>8854.2999999999993</v>
      </c>
      <c r="G736" s="8">
        <f>Tabla1[[#This Row],[Ingresos]]-Tabla1[[#This Row],[Gastos]]</f>
        <v>7260.5259999999998</v>
      </c>
      <c r="H736" s="13">
        <f>Tabla1[[#This Row],[Beneficio]]/Tabla1[[#This Row],[Ingresos]]</f>
        <v>0.45054945054945056</v>
      </c>
    </row>
    <row r="737" spans="1:8" x14ac:dyDescent="0.35">
      <c r="A737" s="2">
        <v>43578</v>
      </c>
      <c r="B737" t="s">
        <v>7</v>
      </c>
      <c r="C737" t="s">
        <v>13</v>
      </c>
      <c r="D737" t="s">
        <v>17</v>
      </c>
      <c r="E737" s="7">
        <v>51006.256000000001</v>
      </c>
      <c r="F737" s="7">
        <v>42573.440000000002</v>
      </c>
      <c r="G737" s="8">
        <f>Tabla1[[#This Row],[Ingresos]]-Tabla1[[#This Row],[Gastos]]</f>
        <v>8432.8159999999989</v>
      </c>
      <c r="H737" s="13">
        <f>Tabla1[[#This Row],[Beneficio]]/Tabla1[[#This Row],[Ingresos]]</f>
        <v>0.16532905296950237</v>
      </c>
    </row>
    <row r="738" spans="1:8" x14ac:dyDescent="0.35">
      <c r="A738" s="2">
        <v>43579</v>
      </c>
      <c r="B738" t="s">
        <v>5</v>
      </c>
      <c r="C738" t="s">
        <v>12</v>
      </c>
      <c r="D738" t="s">
        <v>17</v>
      </c>
      <c r="E738" s="7">
        <v>1588.6499999999999</v>
      </c>
      <c r="F738" s="7">
        <v>934.49999999999989</v>
      </c>
      <c r="G738" s="8">
        <f>Tabla1[[#This Row],[Ingresos]]-Tabla1[[#This Row],[Gastos]]</f>
        <v>654.15</v>
      </c>
      <c r="H738" s="13">
        <f>Tabla1[[#This Row],[Beneficio]]/Tabla1[[#This Row],[Ingresos]]</f>
        <v>0.41176470588235298</v>
      </c>
    </row>
    <row r="739" spans="1:8" x14ac:dyDescent="0.35">
      <c r="A739" s="2">
        <v>43579</v>
      </c>
      <c r="B739" t="s">
        <v>5</v>
      </c>
      <c r="C739" t="s">
        <v>12</v>
      </c>
      <c r="D739" t="s">
        <v>17</v>
      </c>
      <c r="E739" s="7">
        <v>20246.848020000001</v>
      </c>
      <c r="F739" s="7">
        <v>15719.602499999999</v>
      </c>
      <c r="G739" s="8">
        <f>Tabla1[[#This Row],[Ingresos]]-Tabla1[[#This Row],[Gastos]]</f>
        <v>4527.2455200000022</v>
      </c>
      <c r="H739" s="13">
        <f>Tabla1[[#This Row],[Beneficio]]/Tabla1[[#This Row],[Ingresos]]</f>
        <v>0.22360248447204978</v>
      </c>
    </row>
    <row r="740" spans="1:8" x14ac:dyDescent="0.35">
      <c r="A740" s="2">
        <v>43579</v>
      </c>
      <c r="B740" t="s">
        <v>6</v>
      </c>
      <c r="C740" t="s">
        <v>10</v>
      </c>
      <c r="D740" t="s">
        <v>18</v>
      </c>
      <c r="E740" s="7">
        <v>10099.446</v>
      </c>
      <c r="F740" s="7">
        <v>7808.8499999999995</v>
      </c>
      <c r="G740" s="8">
        <f>Tabla1[[#This Row],[Ingresos]]-Tabla1[[#This Row],[Gastos]]</f>
        <v>2290.5960000000005</v>
      </c>
      <c r="H740" s="13">
        <f>Tabla1[[#This Row],[Beneficio]]/Tabla1[[#This Row],[Ingresos]]</f>
        <v>0.22680412371134026</v>
      </c>
    </row>
    <row r="741" spans="1:8" x14ac:dyDescent="0.35">
      <c r="A741" s="2">
        <v>43580</v>
      </c>
      <c r="B741" t="s">
        <v>8</v>
      </c>
      <c r="C741" t="s">
        <v>12</v>
      </c>
      <c r="D741" t="s">
        <v>17</v>
      </c>
      <c r="E741" s="7">
        <v>548251.19999999995</v>
      </c>
      <c r="F741" s="7">
        <v>452524.79999999999</v>
      </c>
      <c r="G741" s="8">
        <f>Tabla1[[#This Row],[Ingresos]]-Tabla1[[#This Row],[Gastos]]</f>
        <v>95726.399999999965</v>
      </c>
      <c r="H741" s="13">
        <f>Tabla1[[#This Row],[Beneficio]]/Tabla1[[#This Row],[Ingresos]]</f>
        <v>0.17460317460317457</v>
      </c>
    </row>
    <row r="742" spans="1:8" x14ac:dyDescent="0.35">
      <c r="A742" s="2">
        <v>43581</v>
      </c>
      <c r="B742" t="s">
        <v>8</v>
      </c>
      <c r="C742" t="s">
        <v>10</v>
      </c>
      <c r="D742" t="s">
        <v>15</v>
      </c>
      <c r="E742" s="7">
        <v>25287.880799999999</v>
      </c>
      <c r="F742" s="7">
        <v>17202.64</v>
      </c>
      <c r="G742" s="8">
        <f>Tabla1[[#This Row],[Ingresos]]-Tabla1[[#This Row],[Gastos]]</f>
        <v>8085.2407999999996</v>
      </c>
      <c r="H742" s="13">
        <f>Tabla1[[#This Row],[Beneficio]]/Tabla1[[#This Row],[Ingresos]]</f>
        <v>0.31972789115646261</v>
      </c>
    </row>
    <row r="743" spans="1:8" x14ac:dyDescent="0.35">
      <c r="A743" s="2">
        <v>43581</v>
      </c>
      <c r="B743" t="s">
        <v>6</v>
      </c>
      <c r="C743" t="s">
        <v>10</v>
      </c>
      <c r="D743" t="s">
        <v>17</v>
      </c>
      <c r="E743" s="7">
        <v>664070.04999999993</v>
      </c>
      <c r="F743" s="7">
        <v>524797</v>
      </c>
      <c r="G743" s="8">
        <f>Tabla1[[#This Row],[Ingresos]]-Tabla1[[#This Row],[Gastos]]</f>
        <v>139273.04999999993</v>
      </c>
      <c r="H743" s="13">
        <f>Tabla1[[#This Row],[Beneficio]]/Tabla1[[#This Row],[Ingresos]]</f>
        <v>0.20972644376899688</v>
      </c>
    </row>
    <row r="744" spans="1:8" x14ac:dyDescent="0.35">
      <c r="A744" s="2">
        <v>43581</v>
      </c>
      <c r="B744" t="s">
        <v>9</v>
      </c>
      <c r="C744" t="s">
        <v>43</v>
      </c>
      <c r="D744" t="s">
        <v>18</v>
      </c>
      <c r="E744" s="7">
        <v>11106.018</v>
      </c>
      <c r="F744" s="7">
        <v>8413.65</v>
      </c>
      <c r="G744" s="8">
        <f>Tabla1[[#This Row],[Ingresos]]-Tabla1[[#This Row],[Gastos]]</f>
        <v>2692.3680000000004</v>
      </c>
      <c r="H744" s="13">
        <f>Tabla1[[#This Row],[Beneficio]]/Tabla1[[#This Row],[Ingresos]]</f>
        <v>0.24242424242424246</v>
      </c>
    </row>
    <row r="745" spans="1:8" x14ac:dyDescent="0.35">
      <c r="A745" s="2">
        <v>43582</v>
      </c>
      <c r="B745" t="s">
        <v>8</v>
      </c>
      <c r="C745" t="s">
        <v>43</v>
      </c>
      <c r="D745" t="s">
        <v>15</v>
      </c>
      <c r="E745" s="7">
        <v>10277.630999999999</v>
      </c>
      <c r="F745" s="7">
        <v>7698.5999999999995</v>
      </c>
      <c r="G745" s="8">
        <f>Tabla1[[#This Row],[Ingresos]]-Tabla1[[#This Row],[Gastos]]</f>
        <v>2579.0309999999999</v>
      </c>
      <c r="H745" s="13">
        <f>Tabla1[[#This Row],[Beneficio]]/Tabla1[[#This Row],[Ingresos]]</f>
        <v>0.25093632958801498</v>
      </c>
    </row>
    <row r="746" spans="1:8" x14ac:dyDescent="0.35">
      <c r="A746" s="2">
        <v>43582</v>
      </c>
      <c r="B746" t="s">
        <v>9</v>
      </c>
      <c r="C746" t="s">
        <v>43</v>
      </c>
      <c r="D746" t="s">
        <v>16</v>
      </c>
      <c r="E746" s="7">
        <v>171413.55</v>
      </c>
      <c r="F746" s="7">
        <v>147026.87999999998</v>
      </c>
      <c r="G746" s="8">
        <f>Tabla1[[#This Row],[Ingresos]]-Tabla1[[#This Row],[Gastos]]</f>
        <v>24386.670000000013</v>
      </c>
      <c r="H746" s="13">
        <f>Tabla1[[#This Row],[Beneficio]]/Tabla1[[#This Row],[Ingresos]]</f>
        <v>0.14226804123711348</v>
      </c>
    </row>
    <row r="747" spans="1:8" x14ac:dyDescent="0.35">
      <c r="A747" s="2">
        <v>43582</v>
      </c>
      <c r="B747" t="s">
        <v>7</v>
      </c>
      <c r="C747" t="s">
        <v>10</v>
      </c>
      <c r="D747" t="s">
        <v>17</v>
      </c>
      <c r="E747" s="7">
        <v>2848.86</v>
      </c>
      <c r="F747" s="7">
        <v>2394</v>
      </c>
      <c r="G747" s="8">
        <f>Tabla1[[#This Row],[Ingresos]]-Tabla1[[#This Row],[Gastos]]</f>
        <v>454.86000000000013</v>
      </c>
      <c r="H747" s="13">
        <f>Tabla1[[#This Row],[Beneficio]]/Tabla1[[#This Row],[Ingresos]]</f>
        <v>0.15966386554621853</v>
      </c>
    </row>
    <row r="748" spans="1:8" x14ac:dyDescent="0.35">
      <c r="A748" s="2">
        <v>43582</v>
      </c>
      <c r="B748" t="s">
        <v>5</v>
      </c>
      <c r="C748" t="s">
        <v>10</v>
      </c>
      <c r="D748" t="s">
        <v>17</v>
      </c>
      <c r="E748" s="7">
        <v>14022.088920000002</v>
      </c>
      <c r="F748" s="7">
        <v>10886.715</v>
      </c>
      <c r="G748" s="8">
        <f>Tabla1[[#This Row],[Ingresos]]-Tabla1[[#This Row],[Gastos]]</f>
        <v>3135.3739200000018</v>
      </c>
      <c r="H748" s="13">
        <f>Tabla1[[#This Row],[Beneficio]]/Tabla1[[#This Row],[Ingresos]]</f>
        <v>0.22360248447204978</v>
      </c>
    </row>
    <row r="749" spans="1:8" x14ac:dyDescent="0.35">
      <c r="A749" s="2">
        <v>43585</v>
      </c>
      <c r="B749" t="s">
        <v>8</v>
      </c>
      <c r="C749" t="s">
        <v>10</v>
      </c>
      <c r="D749" t="s">
        <v>17</v>
      </c>
      <c r="E749" s="7">
        <v>4559.5199999999995</v>
      </c>
      <c r="F749" s="7">
        <v>2478</v>
      </c>
      <c r="G749" s="8">
        <f>Tabla1[[#This Row],[Ingresos]]-Tabla1[[#This Row],[Gastos]]</f>
        <v>2081.5199999999995</v>
      </c>
      <c r="H749" s="13">
        <f>Tabla1[[#This Row],[Beneficio]]/Tabla1[[#This Row],[Ingresos]]</f>
        <v>0.4565217391304347</v>
      </c>
    </row>
    <row r="750" spans="1:8" x14ac:dyDescent="0.35">
      <c r="A750" s="2">
        <v>43585</v>
      </c>
      <c r="B750" t="s">
        <v>8</v>
      </c>
      <c r="C750" t="s">
        <v>43</v>
      </c>
      <c r="D750" t="s">
        <v>19</v>
      </c>
      <c r="E750" s="7">
        <v>137100.6</v>
      </c>
      <c r="F750" s="7">
        <v>122849.99999999999</v>
      </c>
      <c r="G750" s="8">
        <f>Tabla1[[#This Row],[Ingresos]]-Tabla1[[#This Row],[Gastos]]</f>
        <v>14250.60000000002</v>
      </c>
      <c r="H750" s="13">
        <f>Tabla1[[#This Row],[Beneficio]]/Tabla1[[#This Row],[Ingresos]]</f>
        <v>0.10394265232974925</v>
      </c>
    </row>
    <row r="751" spans="1:8" x14ac:dyDescent="0.35">
      <c r="A751" s="2">
        <v>43586</v>
      </c>
      <c r="B751" t="s">
        <v>7</v>
      </c>
      <c r="C751" t="s">
        <v>13</v>
      </c>
      <c r="D751" t="s">
        <v>15</v>
      </c>
      <c r="E751" s="7">
        <v>55996.504199999996</v>
      </c>
      <c r="F751" s="7">
        <v>41023.08</v>
      </c>
      <c r="G751" s="8">
        <f>Tabla1[[#This Row],[Ingresos]]-Tabla1[[#This Row],[Gastos]]</f>
        <v>14973.424199999994</v>
      </c>
      <c r="H751" s="13">
        <f>Tabla1[[#This Row],[Beneficio]]/Tabla1[[#This Row],[Ingresos]]</f>
        <v>0.26739926739926734</v>
      </c>
    </row>
    <row r="752" spans="1:8" x14ac:dyDescent="0.35">
      <c r="A752" s="2">
        <v>43586</v>
      </c>
      <c r="B752" t="s">
        <v>9</v>
      </c>
      <c r="C752" t="s">
        <v>43</v>
      </c>
      <c r="D752" t="s">
        <v>16</v>
      </c>
      <c r="E752" s="7">
        <v>113694.64615384616</v>
      </c>
      <c r="F752" s="7">
        <v>109992.96000000001</v>
      </c>
      <c r="G752" s="8">
        <f>Tabla1[[#This Row],[Ingresos]]-Tabla1[[#This Row],[Gastos]]</f>
        <v>3701.6861538461526</v>
      </c>
      <c r="H752" s="13">
        <f>Tabla1[[#This Row],[Beneficio]]/Tabla1[[#This Row],[Ingresos]]</f>
        <v>3.2558139534883707E-2</v>
      </c>
    </row>
    <row r="753" spans="1:8" x14ac:dyDescent="0.35">
      <c r="A753" s="2">
        <v>43586</v>
      </c>
      <c r="B753" t="s">
        <v>5</v>
      </c>
      <c r="C753" t="s">
        <v>43</v>
      </c>
      <c r="D753" t="s">
        <v>17</v>
      </c>
      <c r="E753" s="7">
        <v>83026.58</v>
      </c>
      <c r="F753" s="7">
        <v>62935.6</v>
      </c>
      <c r="G753" s="8">
        <f>Tabla1[[#This Row],[Ingresos]]-Tabla1[[#This Row],[Gastos]]</f>
        <v>20090.980000000003</v>
      </c>
      <c r="H753" s="13">
        <f>Tabla1[[#This Row],[Beneficio]]/Tabla1[[#This Row],[Ingresos]]</f>
        <v>0.24198250728862977</v>
      </c>
    </row>
    <row r="754" spans="1:8" x14ac:dyDescent="0.35">
      <c r="A754" s="2">
        <v>43587</v>
      </c>
      <c r="B754" t="s">
        <v>9</v>
      </c>
      <c r="C754" t="s">
        <v>13</v>
      </c>
      <c r="D754" t="s">
        <v>18</v>
      </c>
      <c r="E754" s="7">
        <v>4342.3799999999992</v>
      </c>
      <c r="F754" s="7">
        <v>3323.25</v>
      </c>
      <c r="G754" s="8">
        <f>Tabla1[[#This Row],[Ingresos]]-Tabla1[[#This Row],[Gastos]]</f>
        <v>1019.1299999999992</v>
      </c>
      <c r="H754" s="13">
        <f>Tabla1[[#This Row],[Beneficio]]/Tabla1[[#This Row],[Ingresos]]</f>
        <v>0.23469387755102028</v>
      </c>
    </row>
    <row r="755" spans="1:8" x14ac:dyDescent="0.35">
      <c r="A755" s="2">
        <v>43587</v>
      </c>
      <c r="B755" t="s">
        <v>9</v>
      </c>
      <c r="C755" t="s">
        <v>11</v>
      </c>
      <c r="D755" t="s">
        <v>18</v>
      </c>
      <c r="E755" s="7">
        <v>4478.1239999999998</v>
      </c>
      <c r="F755" s="7">
        <v>3773.7</v>
      </c>
      <c r="G755" s="8">
        <f>Tabla1[[#This Row],[Ingresos]]-Tabla1[[#This Row],[Gastos]]</f>
        <v>704.42399999999998</v>
      </c>
      <c r="H755" s="13">
        <f>Tabla1[[#This Row],[Beneficio]]/Tabla1[[#This Row],[Ingresos]]</f>
        <v>0.15730337078651685</v>
      </c>
    </row>
    <row r="756" spans="1:8" x14ac:dyDescent="0.35">
      <c r="A756" s="2">
        <v>43588</v>
      </c>
      <c r="B756" t="s">
        <v>9</v>
      </c>
      <c r="C756" t="s">
        <v>10</v>
      </c>
      <c r="D756" t="s">
        <v>17</v>
      </c>
      <c r="E756" s="7">
        <v>10424.95335</v>
      </c>
      <c r="F756" s="7">
        <v>8559.0749999999989</v>
      </c>
      <c r="G756" s="8">
        <f>Tabla1[[#This Row],[Ingresos]]-Tabla1[[#This Row],[Gastos]]</f>
        <v>1865.8783500000009</v>
      </c>
      <c r="H756" s="13">
        <f>Tabla1[[#This Row],[Beneficio]]/Tabla1[[#This Row],[Ingresos]]</f>
        <v>0.17898193760262734</v>
      </c>
    </row>
    <row r="757" spans="1:8" x14ac:dyDescent="0.35">
      <c r="A757" s="2">
        <v>43588</v>
      </c>
      <c r="B757" t="s">
        <v>5</v>
      </c>
      <c r="C757" t="s">
        <v>43</v>
      </c>
      <c r="D757" t="s">
        <v>18</v>
      </c>
      <c r="E757" s="7">
        <v>8992.1999999999989</v>
      </c>
      <c r="F757" s="7">
        <v>6744.15</v>
      </c>
      <c r="G757" s="8">
        <f>Tabla1[[#This Row],[Ingresos]]-Tabla1[[#This Row],[Gastos]]</f>
        <v>2248.0499999999993</v>
      </c>
      <c r="H757" s="13">
        <f>Tabla1[[#This Row],[Beneficio]]/Tabla1[[#This Row],[Ingresos]]</f>
        <v>0.24999999999999994</v>
      </c>
    </row>
    <row r="758" spans="1:8" x14ac:dyDescent="0.35">
      <c r="A758" s="2">
        <v>43588</v>
      </c>
      <c r="B758" t="s">
        <v>5</v>
      </c>
      <c r="C758" t="s">
        <v>43</v>
      </c>
      <c r="D758" t="s">
        <v>18</v>
      </c>
      <c r="E758" s="7">
        <v>3262.9799999999996</v>
      </c>
      <c r="F758" s="7">
        <v>2879.1</v>
      </c>
      <c r="G758" s="8">
        <f>Tabla1[[#This Row],[Ingresos]]-Tabla1[[#This Row],[Gastos]]</f>
        <v>383.87999999999965</v>
      </c>
      <c r="H758" s="13">
        <f>Tabla1[[#This Row],[Beneficio]]/Tabla1[[#This Row],[Ingresos]]</f>
        <v>0.11764705882352933</v>
      </c>
    </row>
    <row r="759" spans="1:8" x14ac:dyDescent="0.35">
      <c r="A759" s="2">
        <v>43589</v>
      </c>
      <c r="B759" t="s">
        <v>6</v>
      </c>
      <c r="C759" t="s">
        <v>12</v>
      </c>
      <c r="D759" t="s">
        <v>17</v>
      </c>
      <c r="E759" s="7">
        <v>356068.3</v>
      </c>
      <c r="F759" s="7">
        <v>269906</v>
      </c>
      <c r="G759" s="8">
        <f>Tabla1[[#This Row],[Ingresos]]-Tabla1[[#This Row],[Gastos]]</f>
        <v>86162.299999999988</v>
      </c>
      <c r="H759" s="13">
        <f>Tabla1[[#This Row],[Beneficio]]/Tabla1[[#This Row],[Ingresos]]</f>
        <v>0.24198250728862972</v>
      </c>
    </row>
    <row r="760" spans="1:8" x14ac:dyDescent="0.35">
      <c r="A760" s="2">
        <v>43590</v>
      </c>
      <c r="B760" t="s">
        <v>8</v>
      </c>
      <c r="C760" t="s">
        <v>12</v>
      </c>
      <c r="D760" t="s">
        <v>15</v>
      </c>
      <c r="E760" s="7">
        <v>7148.1374999999998</v>
      </c>
      <c r="F760" s="7">
        <v>5477.5</v>
      </c>
      <c r="G760" s="8">
        <f>Tabla1[[#This Row],[Ingresos]]-Tabla1[[#This Row],[Gastos]]</f>
        <v>1670.6374999999998</v>
      </c>
      <c r="H760" s="13">
        <f>Tabla1[[#This Row],[Beneficio]]/Tabla1[[#This Row],[Ingresos]]</f>
        <v>0.23371647509578541</v>
      </c>
    </row>
    <row r="761" spans="1:8" x14ac:dyDescent="0.35">
      <c r="A761" s="2">
        <v>43590</v>
      </c>
      <c r="B761" t="s">
        <v>9</v>
      </c>
      <c r="C761" t="s">
        <v>13</v>
      </c>
      <c r="D761" t="s">
        <v>17</v>
      </c>
      <c r="E761" s="7">
        <v>10492.492499999998</v>
      </c>
      <c r="F761" s="7">
        <v>5641.125</v>
      </c>
      <c r="G761" s="8">
        <f>Tabla1[[#This Row],[Ingresos]]-Tabla1[[#This Row],[Gastos]]</f>
        <v>4851.3674999999985</v>
      </c>
      <c r="H761" s="13">
        <f>Tabla1[[#This Row],[Beneficio]]/Tabla1[[#This Row],[Ingresos]]</f>
        <v>0.46236559139784938</v>
      </c>
    </row>
    <row r="762" spans="1:8" x14ac:dyDescent="0.35">
      <c r="A762" s="2">
        <v>43590</v>
      </c>
      <c r="B762" t="s">
        <v>8</v>
      </c>
      <c r="C762" t="s">
        <v>11</v>
      </c>
      <c r="D762" t="s">
        <v>17</v>
      </c>
      <c r="E762" s="7">
        <v>15620.435599999999</v>
      </c>
      <c r="F762" s="7">
        <v>12678.924999999999</v>
      </c>
      <c r="G762" s="8">
        <f>Tabla1[[#This Row],[Ingresos]]-Tabla1[[#This Row],[Gastos]]</f>
        <v>2941.5105999999996</v>
      </c>
      <c r="H762" s="13">
        <f>Tabla1[[#This Row],[Beneficio]]/Tabla1[[#This Row],[Ingresos]]</f>
        <v>0.18831168831168829</v>
      </c>
    </row>
    <row r="763" spans="1:8" x14ac:dyDescent="0.35">
      <c r="A763" s="2">
        <v>43592</v>
      </c>
      <c r="B763" t="s">
        <v>9</v>
      </c>
      <c r="C763" t="s">
        <v>10</v>
      </c>
      <c r="D763" t="s">
        <v>17</v>
      </c>
      <c r="E763" s="7">
        <v>2349.1334999999999</v>
      </c>
      <c r="F763" s="7">
        <v>1804.2499999999998</v>
      </c>
      <c r="G763" s="8">
        <f>Tabla1[[#This Row],[Ingresos]]-Tabla1[[#This Row],[Gastos]]</f>
        <v>544.88350000000014</v>
      </c>
      <c r="H763" s="13">
        <f>Tabla1[[#This Row],[Beneficio]]/Tabla1[[#This Row],[Ingresos]]</f>
        <v>0.23195084485407072</v>
      </c>
    </row>
    <row r="764" spans="1:8" x14ac:dyDescent="0.35">
      <c r="A764" s="2">
        <v>43592</v>
      </c>
      <c r="B764" t="s">
        <v>9</v>
      </c>
      <c r="C764" t="s">
        <v>10</v>
      </c>
      <c r="D764" t="s">
        <v>17</v>
      </c>
      <c r="E764" s="7">
        <v>1037550.0712499999</v>
      </c>
      <c r="F764" s="7">
        <v>778536.85</v>
      </c>
      <c r="G764" s="8">
        <f>Tabla1[[#This Row],[Ingresos]]-Tabla1[[#This Row],[Gastos]]</f>
        <v>259013.22124999994</v>
      </c>
      <c r="H764" s="13">
        <f>Tabla1[[#This Row],[Beneficio]]/Tabla1[[#This Row],[Ingresos]]</f>
        <v>0.24963924963924961</v>
      </c>
    </row>
    <row r="765" spans="1:8" x14ac:dyDescent="0.35">
      <c r="A765" s="2">
        <v>43596</v>
      </c>
      <c r="B765" t="s">
        <v>9</v>
      </c>
      <c r="C765" t="s">
        <v>10</v>
      </c>
      <c r="D765" t="s">
        <v>16</v>
      </c>
      <c r="E765" s="7">
        <v>215835.57692307691</v>
      </c>
      <c r="F765" s="7">
        <v>138957</v>
      </c>
      <c r="G765" s="8">
        <f>Tabla1[[#This Row],[Ingresos]]-Tabla1[[#This Row],[Gastos]]</f>
        <v>76878.576923076907</v>
      </c>
      <c r="H765" s="13">
        <f>Tabla1[[#This Row],[Beneficio]]/Tabla1[[#This Row],[Ingresos]]</f>
        <v>0.35619047619047617</v>
      </c>
    </row>
    <row r="766" spans="1:8" x14ac:dyDescent="0.35">
      <c r="A766" s="2">
        <v>43596</v>
      </c>
      <c r="B766" t="s">
        <v>7</v>
      </c>
      <c r="C766" t="s">
        <v>13</v>
      </c>
      <c r="D766" t="s">
        <v>17</v>
      </c>
      <c r="E766" s="7">
        <v>14679.8904</v>
      </c>
      <c r="F766" s="7">
        <v>12192.599999999999</v>
      </c>
      <c r="G766" s="8">
        <f>Tabla1[[#This Row],[Ingresos]]-Tabla1[[#This Row],[Gastos]]</f>
        <v>2487.2904000000017</v>
      </c>
      <c r="H766" s="13">
        <f>Tabla1[[#This Row],[Beneficio]]/Tabla1[[#This Row],[Ingresos]]</f>
        <v>0.16943521594684396</v>
      </c>
    </row>
    <row r="767" spans="1:8" x14ac:dyDescent="0.35">
      <c r="A767" s="2">
        <v>43598</v>
      </c>
      <c r="B767" t="s">
        <v>9</v>
      </c>
      <c r="C767" t="s">
        <v>10</v>
      </c>
      <c r="D767" t="s">
        <v>16</v>
      </c>
      <c r="E767" s="7">
        <v>207788.68990384613</v>
      </c>
      <c r="F767" s="7">
        <v>178227</v>
      </c>
      <c r="G767" s="8">
        <f>Tabla1[[#This Row],[Ingresos]]-Tabla1[[#This Row],[Gastos]]</f>
        <v>29561.689903846127</v>
      </c>
      <c r="H767" s="13">
        <f>Tabla1[[#This Row],[Beneficio]]/Tabla1[[#This Row],[Ingresos]]</f>
        <v>0.14226804123711329</v>
      </c>
    </row>
    <row r="768" spans="1:8" x14ac:dyDescent="0.35">
      <c r="A768" s="2">
        <v>43599</v>
      </c>
      <c r="B768" t="s">
        <v>8</v>
      </c>
      <c r="C768" t="s">
        <v>43</v>
      </c>
      <c r="D768" t="s">
        <v>16</v>
      </c>
      <c r="E768" s="7">
        <v>134556.49038461538</v>
      </c>
      <c r="F768" s="7">
        <v>111951</v>
      </c>
      <c r="G768" s="8">
        <f>Tabla1[[#This Row],[Ingresos]]-Tabla1[[#This Row],[Gastos]]</f>
        <v>22605.490384615376</v>
      </c>
      <c r="H768" s="13">
        <f>Tabla1[[#This Row],[Beneficio]]/Tabla1[[#This Row],[Ingresos]]</f>
        <v>0.16799999999999995</v>
      </c>
    </row>
    <row r="769" spans="1:8" x14ac:dyDescent="0.35">
      <c r="A769" s="2">
        <v>43599</v>
      </c>
      <c r="B769" t="s">
        <v>6</v>
      </c>
      <c r="C769" t="s">
        <v>43</v>
      </c>
      <c r="D769" t="s">
        <v>17</v>
      </c>
      <c r="E769" s="7">
        <v>12454.96</v>
      </c>
      <c r="F769" s="7">
        <v>6769</v>
      </c>
      <c r="G769" s="8">
        <f>Tabla1[[#This Row],[Ingresos]]-Tabla1[[#This Row],[Gastos]]</f>
        <v>5685.9599999999991</v>
      </c>
      <c r="H769" s="13">
        <f>Tabla1[[#This Row],[Beneficio]]/Tabla1[[#This Row],[Ingresos]]</f>
        <v>0.45652173913043476</v>
      </c>
    </row>
    <row r="770" spans="1:8" x14ac:dyDescent="0.35">
      <c r="A770" s="2">
        <v>43601</v>
      </c>
      <c r="B770" t="s">
        <v>8</v>
      </c>
      <c r="C770" t="s">
        <v>11</v>
      </c>
      <c r="D770" t="s">
        <v>17</v>
      </c>
      <c r="E770" s="7">
        <v>192732.21449999997</v>
      </c>
      <c r="F770" s="7">
        <v>160867.97999999998</v>
      </c>
      <c r="G770" s="8">
        <f>Tabla1[[#This Row],[Ingresos]]-Tabla1[[#This Row],[Gastos]]</f>
        <v>31864.234499999991</v>
      </c>
      <c r="H770" s="13">
        <f>Tabla1[[#This Row],[Beneficio]]/Tabla1[[#This Row],[Ingresos]]</f>
        <v>0.1653290529695024</v>
      </c>
    </row>
    <row r="771" spans="1:8" x14ac:dyDescent="0.35">
      <c r="A771" s="2">
        <v>43602</v>
      </c>
      <c r="B771" t="s">
        <v>5</v>
      </c>
      <c r="C771" t="s">
        <v>10</v>
      </c>
      <c r="D771" t="s">
        <v>17</v>
      </c>
      <c r="E771" s="7">
        <v>309471.75</v>
      </c>
      <c r="F771" s="7">
        <v>255436.99999999997</v>
      </c>
      <c r="G771" s="8">
        <f>Tabla1[[#This Row],[Ingresos]]-Tabla1[[#This Row],[Gastos]]</f>
        <v>54034.750000000029</v>
      </c>
      <c r="H771" s="13">
        <f>Tabla1[[#This Row],[Beneficio]]/Tabla1[[#This Row],[Ingresos]]</f>
        <v>0.1746031746031747</v>
      </c>
    </row>
    <row r="772" spans="1:8" x14ac:dyDescent="0.35">
      <c r="A772" s="2">
        <v>43602</v>
      </c>
      <c r="B772" t="s">
        <v>9</v>
      </c>
      <c r="C772" t="s">
        <v>43</v>
      </c>
      <c r="D772" t="s">
        <v>19</v>
      </c>
      <c r="E772" s="7">
        <v>109586.4</v>
      </c>
      <c r="F772" s="7">
        <v>103775</v>
      </c>
      <c r="G772" s="8">
        <f>Tabla1[[#This Row],[Ingresos]]-Tabla1[[#This Row],[Gastos]]</f>
        <v>5811.3999999999942</v>
      </c>
      <c r="H772" s="13">
        <f>Tabla1[[#This Row],[Beneficio]]/Tabla1[[#This Row],[Ingresos]]</f>
        <v>5.3030303030302983E-2</v>
      </c>
    </row>
    <row r="773" spans="1:8" x14ac:dyDescent="0.35">
      <c r="A773" s="2">
        <v>43603</v>
      </c>
      <c r="B773" t="s">
        <v>6</v>
      </c>
      <c r="C773" t="s">
        <v>10</v>
      </c>
      <c r="D773" t="s">
        <v>16</v>
      </c>
      <c r="E773" s="7">
        <v>135675.13413461536</v>
      </c>
      <c r="F773" s="7">
        <v>115185.42</v>
      </c>
      <c r="G773" s="8">
        <f>Tabla1[[#This Row],[Ingresos]]-Tabla1[[#This Row],[Gastos]]</f>
        <v>20489.714134615366</v>
      </c>
      <c r="H773" s="13">
        <f>Tabla1[[#This Row],[Beneficio]]/Tabla1[[#This Row],[Ingresos]]</f>
        <v>0.1510204081632652</v>
      </c>
    </row>
    <row r="774" spans="1:8" x14ac:dyDescent="0.35">
      <c r="A774" s="2">
        <v>43604</v>
      </c>
      <c r="B774" t="s">
        <v>7</v>
      </c>
      <c r="C774" t="s">
        <v>13</v>
      </c>
      <c r="D774" t="s">
        <v>16</v>
      </c>
      <c r="E774" s="7">
        <v>68376.201923076907</v>
      </c>
      <c r="F774" s="7">
        <v>66150</v>
      </c>
      <c r="G774" s="8">
        <f>Tabla1[[#This Row],[Ingresos]]-Tabla1[[#This Row],[Gastos]]</f>
        <v>2226.2019230769074</v>
      </c>
      <c r="H774" s="13">
        <f>Tabla1[[#This Row],[Beneficio]]/Tabla1[[#This Row],[Ingresos]]</f>
        <v>3.2558139534883498E-2</v>
      </c>
    </row>
    <row r="775" spans="1:8" x14ac:dyDescent="0.35">
      <c r="A775" s="2">
        <v>43605</v>
      </c>
      <c r="B775" t="s">
        <v>6</v>
      </c>
      <c r="C775" t="s">
        <v>13</v>
      </c>
      <c r="D775" t="s">
        <v>15</v>
      </c>
      <c r="E775" s="7">
        <v>5243.4375</v>
      </c>
      <c r="F775" s="7">
        <v>4112.5</v>
      </c>
      <c r="G775" s="8">
        <f>Tabla1[[#This Row],[Ingresos]]-Tabla1[[#This Row],[Gastos]]</f>
        <v>1130.9375</v>
      </c>
      <c r="H775" s="13">
        <f>Tabla1[[#This Row],[Beneficio]]/Tabla1[[#This Row],[Ingresos]]</f>
        <v>0.21568627450980393</v>
      </c>
    </row>
    <row r="776" spans="1:8" x14ac:dyDescent="0.35">
      <c r="A776" s="2">
        <v>43606</v>
      </c>
      <c r="B776" t="s">
        <v>8</v>
      </c>
      <c r="C776" t="s">
        <v>12</v>
      </c>
      <c r="D776" t="s">
        <v>17</v>
      </c>
      <c r="E776" s="7">
        <v>141461.77499999999</v>
      </c>
      <c r="F776" s="7">
        <v>115478.99999999999</v>
      </c>
      <c r="G776" s="8">
        <f>Tabla1[[#This Row],[Ingresos]]-Tabla1[[#This Row],[Gastos]]</f>
        <v>25982.775000000009</v>
      </c>
      <c r="H776" s="13">
        <f>Tabla1[[#This Row],[Beneficio]]/Tabla1[[#This Row],[Ingresos]]</f>
        <v>0.18367346938775517</v>
      </c>
    </row>
    <row r="777" spans="1:8" x14ac:dyDescent="0.35">
      <c r="A777" s="2">
        <v>43606</v>
      </c>
      <c r="B777" t="s">
        <v>7</v>
      </c>
      <c r="C777" t="s">
        <v>10</v>
      </c>
      <c r="D777" t="s">
        <v>19</v>
      </c>
      <c r="E777" s="7">
        <v>55849.5</v>
      </c>
      <c r="F777" s="7">
        <v>51712.5</v>
      </c>
      <c r="G777" s="8">
        <f>Tabla1[[#This Row],[Ingresos]]-Tabla1[[#This Row],[Gastos]]</f>
        <v>4137</v>
      </c>
      <c r="H777" s="13">
        <f>Tabla1[[#This Row],[Beneficio]]/Tabla1[[#This Row],[Ingresos]]</f>
        <v>7.407407407407407E-2</v>
      </c>
    </row>
    <row r="778" spans="1:8" x14ac:dyDescent="0.35">
      <c r="A778" s="2">
        <v>43606</v>
      </c>
      <c r="B778" t="s">
        <v>6</v>
      </c>
      <c r="C778" t="s">
        <v>13</v>
      </c>
      <c r="D778" t="s">
        <v>19</v>
      </c>
      <c r="E778" s="7">
        <v>345047.47200000001</v>
      </c>
      <c r="F778" s="7">
        <v>299520.375</v>
      </c>
      <c r="G778" s="8">
        <f>Tabla1[[#This Row],[Ingresos]]-Tabla1[[#This Row],[Gastos]]</f>
        <v>45527.097000000009</v>
      </c>
      <c r="H778" s="13">
        <f>Tabla1[[#This Row],[Beneficio]]/Tabla1[[#This Row],[Ingresos]]</f>
        <v>0.13194444444444448</v>
      </c>
    </row>
    <row r="779" spans="1:8" x14ac:dyDescent="0.35">
      <c r="A779" s="2">
        <v>43607</v>
      </c>
      <c r="B779" t="s">
        <v>5</v>
      </c>
      <c r="C779" t="s">
        <v>43</v>
      </c>
      <c r="D779" t="s">
        <v>15</v>
      </c>
      <c r="E779" s="7">
        <v>10018.049999999999</v>
      </c>
      <c r="F779" s="7">
        <v>7105</v>
      </c>
      <c r="G779" s="8">
        <f>Tabla1[[#This Row],[Ingresos]]-Tabla1[[#This Row],[Gastos]]</f>
        <v>2913.0499999999993</v>
      </c>
      <c r="H779" s="13">
        <f>Tabla1[[#This Row],[Beneficio]]/Tabla1[[#This Row],[Ingresos]]</f>
        <v>0.29078014184397161</v>
      </c>
    </row>
    <row r="780" spans="1:8" x14ac:dyDescent="0.35">
      <c r="A780" s="2">
        <v>43608</v>
      </c>
      <c r="B780" t="s">
        <v>9</v>
      </c>
      <c r="C780" t="s">
        <v>43</v>
      </c>
      <c r="D780" t="s">
        <v>17</v>
      </c>
      <c r="E780" s="7">
        <v>43093.595999999998</v>
      </c>
      <c r="F780" s="7">
        <v>23168.6</v>
      </c>
      <c r="G780" s="8">
        <f>Tabla1[[#This Row],[Ingresos]]-Tabla1[[#This Row],[Gastos]]</f>
        <v>19924.995999999999</v>
      </c>
      <c r="H780" s="13">
        <f>Tabla1[[#This Row],[Beneficio]]/Tabla1[[#This Row],[Ingresos]]</f>
        <v>0.46236559139784944</v>
      </c>
    </row>
    <row r="781" spans="1:8" x14ac:dyDescent="0.35">
      <c r="A781" s="2">
        <v>43610</v>
      </c>
      <c r="B781" t="s">
        <v>7</v>
      </c>
      <c r="C781" t="s">
        <v>11</v>
      </c>
      <c r="D781" t="s">
        <v>15</v>
      </c>
      <c r="E781" s="7">
        <v>1755.6</v>
      </c>
      <c r="F781" s="7">
        <v>1330</v>
      </c>
      <c r="G781" s="8">
        <f>Tabla1[[#This Row],[Ingresos]]-Tabla1[[#This Row],[Gastos]]</f>
        <v>425.59999999999991</v>
      </c>
      <c r="H781" s="13">
        <f>Tabla1[[#This Row],[Beneficio]]/Tabla1[[#This Row],[Ingresos]]</f>
        <v>0.24242424242424238</v>
      </c>
    </row>
    <row r="782" spans="1:8" x14ac:dyDescent="0.35">
      <c r="A782" s="2">
        <v>43610</v>
      </c>
      <c r="B782" t="s">
        <v>9</v>
      </c>
      <c r="C782" t="s">
        <v>10</v>
      </c>
      <c r="D782" t="s">
        <v>19</v>
      </c>
      <c r="E782" s="7">
        <v>93646.349999999991</v>
      </c>
      <c r="F782" s="7">
        <v>83912.5</v>
      </c>
      <c r="G782" s="8">
        <f>Tabla1[[#This Row],[Ingresos]]-Tabla1[[#This Row],[Gastos]]</f>
        <v>9733.8499999999913</v>
      </c>
      <c r="H782" s="13">
        <f>Tabla1[[#This Row],[Beneficio]]/Tabla1[[#This Row],[Ingresos]]</f>
        <v>0.10394265232974902</v>
      </c>
    </row>
    <row r="783" spans="1:8" x14ac:dyDescent="0.35">
      <c r="A783" s="2">
        <v>43611</v>
      </c>
      <c r="B783" t="s">
        <v>8</v>
      </c>
      <c r="C783" t="s">
        <v>13</v>
      </c>
      <c r="D783" t="s">
        <v>17</v>
      </c>
      <c r="E783" s="7">
        <v>461124.53887500003</v>
      </c>
      <c r="F783" s="7">
        <v>346009.755</v>
      </c>
      <c r="G783" s="8">
        <f>Tabla1[[#This Row],[Ingresos]]-Tabla1[[#This Row],[Gastos]]</f>
        <v>115114.78387500002</v>
      </c>
      <c r="H783" s="13">
        <f>Tabla1[[#This Row],[Beneficio]]/Tabla1[[#This Row],[Ingresos]]</f>
        <v>0.24963924963924966</v>
      </c>
    </row>
    <row r="784" spans="1:8" x14ac:dyDescent="0.35">
      <c r="A784" s="2">
        <v>43611</v>
      </c>
      <c r="B784" t="s">
        <v>5</v>
      </c>
      <c r="C784" t="s">
        <v>11</v>
      </c>
      <c r="D784" t="s">
        <v>17</v>
      </c>
      <c r="E784" s="7">
        <v>157310.38399999999</v>
      </c>
      <c r="F784" s="7">
        <v>132794.47999999998</v>
      </c>
      <c r="G784" s="8">
        <f>Tabla1[[#This Row],[Ingresos]]-Tabla1[[#This Row],[Gastos]]</f>
        <v>24515.90400000001</v>
      </c>
      <c r="H784" s="13">
        <f>Tabla1[[#This Row],[Beneficio]]/Tabla1[[#This Row],[Ingresos]]</f>
        <v>0.15584415584415592</v>
      </c>
    </row>
    <row r="785" spans="1:8" x14ac:dyDescent="0.35">
      <c r="A785" s="2">
        <v>43611</v>
      </c>
      <c r="B785" t="s">
        <v>7</v>
      </c>
      <c r="C785" t="s">
        <v>13</v>
      </c>
      <c r="D785" t="s">
        <v>18</v>
      </c>
      <c r="E785" s="7">
        <v>8031.9691199999988</v>
      </c>
      <c r="F785" s="7">
        <v>6408.485999999999</v>
      </c>
      <c r="G785" s="8">
        <f>Tabla1[[#This Row],[Ingresos]]-Tabla1[[#This Row],[Gastos]]</f>
        <v>1623.4831199999999</v>
      </c>
      <c r="H785" s="13">
        <f>Tabla1[[#This Row],[Beneficio]]/Tabla1[[#This Row],[Ingresos]]</f>
        <v>0.2021276595744681</v>
      </c>
    </row>
    <row r="786" spans="1:8" x14ac:dyDescent="0.35">
      <c r="A786" s="2">
        <v>43612</v>
      </c>
      <c r="B786" t="s">
        <v>5</v>
      </c>
      <c r="C786" t="s">
        <v>10</v>
      </c>
      <c r="D786" t="s">
        <v>16</v>
      </c>
      <c r="E786" s="7">
        <v>26305.528846153844</v>
      </c>
      <c r="F786" s="7">
        <v>24318</v>
      </c>
      <c r="G786" s="8">
        <f>Tabla1[[#This Row],[Ingresos]]-Tabla1[[#This Row],[Gastos]]</f>
        <v>1987.5288461538439</v>
      </c>
      <c r="H786" s="13">
        <f>Tabla1[[#This Row],[Beneficio]]/Tabla1[[#This Row],[Ingresos]]</f>
        <v>7.5555555555555473E-2</v>
      </c>
    </row>
    <row r="787" spans="1:8" x14ac:dyDescent="0.35">
      <c r="A787" s="2">
        <v>43612</v>
      </c>
      <c r="B787" t="s">
        <v>7</v>
      </c>
      <c r="C787" t="s">
        <v>12</v>
      </c>
      <c r="D787" t="s">
        <v>19</v>
      </c>
      <c r="E787" s="7">
        <v>526449</v>
      </c>
      <c r="F787" s="7">
        <v>498531.24999999994</v>
      </c>
      <c r="G787" s="8">
        <f>Tabla1[[#This Row],[Ingresos]]-Tabla1[[#This Row],[Gastos]]</f>
        <v>27917.750000000058</v>
      </c>
      <c r="H787" s="13">
        <f>Tabla1[[#This Row],[Beneficio]]/Tabla1[[#This Row],[Ingresos]]</f>
        <v>5.3030303030303143E-2</v>
      </c>
    </row>
    <row r="788" spans="1:8" x14ac:dyDescent="0.35">
      <c r="A788" s="2">
        <v>43612</v>
      </c>
      <c r="B788" t="s">
        <v>9</v>
      </c>
      <c r="C788" t="s">
        <v>43</v>
      </c>
      <c r="D788" t="s">
        <v>18</v>
      </c>
      <c r="E788" s="7">
        <v>4478.1239999999998</v>
      </c>
      <c r="F788" s="7">
        <v>3773.7</v>
      </c>
      <c r="G788" s="8">
        <f>Tabla1[[#This Row],[Ingresos]]-Tabla1[[#This Row],[Gastos]]</f>
        <v>704.42399999999998</v>
      </c>
      <c r="H788" s="13">
        <f>Tabla1[[#This Row],[Beneficio]]/Tabla1[[#This Row],[Ingresos]]</f>
        <v>0.15730337078651685</v>
      </c>
    </row>
    <row r="789" spans="1:8" x14ac:dyDescent="0.35">
      <c r="A789" s="2">
        <v>43614</v>
      </c>
      <c r="B789" t="s">
        <v>8</v>
      </c>
      <c r="C789" t="s">
        <v>12</v>
      </c>
      <c r="D789" t="s">
        <v>15</v>
      </c>
      <c r="E789" s="7">
        <v>1098.7199999999998</v>
      </c>
      <c r="F789" s="7">
        <v>763</v>
      </c>
      <c r="G789" s="8">
        <f>Tabla1[[#This Row],[Ingresos]]-Tabla1[[#This Row],[Gastos]]</f>
        <v>335.7199999999998</v>
      </c>
      <c r="H789" s="13">
        <f>Tabla1[[#This Row],[Beneficio]]/Tabla1[[#This Row],[Ingresos]]</f>
        <v>0.30555555555555541</v>
      </c>
    </row>
    <row r="790" spans="1:8" x14ac:dyDescent="0.35">
      <c r="A790" s="2">
        <v>43614</v>
      </c>
      <c r="B790" t="s">
        <v>7</v>
      </c>
      <c r="C790" t="s">
        <v>13</v>
      </c>
      <c r="D790" t="s">
        <v>19</v>
      </c>
      <c r="E790" s="7">
        <v>475830.18</v>
      </c>
      <c r="F790" s="7">
        <v>404617.5</v>
      </c>
      <c r="G790" s="8">
        <f>Tabla1[[#This Row],[Ingresos]]-Tabla1[[#This Row],[Gastos]]</f>
        <v>71212.679999999993</v>
      </c>
      <c r="H790" s="13">
        <f>Tabla1[[#This Row],[Beneficio]]/Tabla1[[#This Row],[Ingresos]]</f>
        <v>0.14965986394557823</v>
      </c>
    </row>
    <row r="791" spans="1:8" x14ac:dyDescent="0.35">
      <c r="A791" s="2">
        <v>43615</v>
      </c>
      <c r="B791" t="s">
        <v>8</v>
      </c>
      <c r="C791" t="s">
        <v>13</v>
      </c>
      <c r="D791" t="s">
        <v>17</v>
      </c>
      <c r="E791" s="7">
        <v>581637.59499999997</v>
      </c>
      <c r="F791" s="7">
        <v>454814.36</v>
      </c>
      <c r="G791" s="8">
        <f>Tabla1[[#This Row],[Ingresos]]-Tabla1[[#This Row],[Gastos]]</f>
        <v>126823.23499999999</v>
      </c>
      <c r="H791" s="13">
        <f>Tabla1[[#This Row],[Beneficio]]/Tabla1[[#This Row],[Ingresos]]</f>
        <v>0.21804511278195488</v>
      </c>
    </row>
    <row r="792" spans="1:8" x14ac:dyDescent="0.35">
      <c r="A792" s="2">
        <v>43616</v>
      </c>
      <c r="B792" t="s">
        <v>9</v>
      </c>
      <c r="C792" t="s">
        <v>10</v>
      </c>
      <c r="D792" t="s">
        <v>17</v>
      </c>
      <c r="E792" s="7">
        <v>161121.1875</v>
      </c>
      <c r="F792" s="7">
        <v>125989.49999999999</v>
      </c>
      <c r="G792" s="8">
        <f>Tabla1[[#This Row],[Ingresos]]-Tabla1[[#This Row],[Gastos]]</f>
        <v>35131.687500000015</v>
      </c>
      <c r="H792" s="13">
        <f>Tabla1[[#This Row],[Beneficio]]/Tabla1[[#This Row],[Ingresos]]</f>
        <v>0.21804511278195499</v>
      </c>
    </row>
    <row r="793" spans="1:8" x14ac:dyDescent="0.35">
      <c r="A793" s="2">
        <v>43616</v>
      </c>
      <c r="B793" t="s">
        <v>7</v>
      </c>
      <c r="C793" t="s">
        <v>11</v>
      </c>
      <c r="D793" t="s">
        <v>18</v>
      </c>
      <c r="E793" s="7">
        <v>9140.0399999999991</v>
      </c>
      <c r="F793" s="7">
        <v>7370.9999999999991</v>
      </c>
      <c r="G793" s="8">
        <f>Tabla1[[#This Row],[Ingresos]]-Tabla1[[#This Row],[Gastos]]</f>
        <v>1769.04</v>
      </c>
      <c r="H793" s="13">
        <f>Tabla1[[#This Row],[Beneficio]]/Tabla1[[#This Row],[Ingresos]]</f>
        <v>0.19354838709677422</v>
      </c>
    </row>
    <row r="794" spans="1:8" x14ac:dyDescent="0.35">
      <c r="A794" s="2">
        <v>43617</v>
      </c>
      <c r="B794" t="s">
        <v>7</v>
      </c>
      <c r="C794" t="s">
        <v>12</v>
      </c>
      <c r="D794" t="s">
        <v>18</v>
      </c>
      <c r="E794" s="7">
        <v>9485.7335999999996</v>
      </c>
      <c r="F794" s="7">
        <v>7259.49</v>
      </c>
      <c r="G794" s="8">
        <f>Tabla1[[#This Row],[Ingresos]]-Tabla1[[#This Row],[Gastos]]</f>
        <v>2226.2435999999998</v>
      </c>
      <c r="H794" s="13">
        <f>Tabla1[[#This Row],[Beneficio]]/Tabla1[[#This Row],[Ingresos]]</f>
        <v>0.23469387755102039</v>
      </c>
    </row>
    <row r="795" spans="1:8" x14ac:dyDescent="0.35">
      <c r="A795" s="2">
        <v>43618</v>
      </c>
      <c r="B795" t="s">
        <v>6</v>
      </c>
      <c r="C795" t="s">
        <v>12</v>
      </c>
      <c r="D795" t="s">
        <v>15</v>
      </c>
      <c r="E795" s="7">
        <v>18456.899999999998</v>
      </c>
      <c r="F795" s="7">
        <v>14475.999999999998</v>
      </c>
      <c r="G795" s="8">
        <f>Tabla1[[#This Row],[Ingresos]]-Tabla1[[#This Row],[Gastos]]</f>
        <v>3980.8999999999996</v>
      </c>
      <c r="H795" s="13">
        <f>Tabla1[[#This Row],[Beneficio]]/Tabla1[[#This Row],[Ingresos]]</f>
        <v>0.21568627450980393</v>
      </c>
    </row>
    <row r="796" spans="1:8" x14ac:dyDescent="0.35">
      <c r="A796" s="2">
        <v>43618</v>
      </c>
      <c r="B796" t="s">
        <v>9</v>
      </c>
      <c r="C796" t="s">
        <v>13</v>
      </c>
      <c r="D796" t="s">
        <v>17</v>
      </c>
      <c r="E796" s="7">
        <v>256015.19999999998</v>
      </c>
      <c r="F796" s="7">
        <v>198107</v>
      </c>
      <c r="G796" s="8">
        <f>Tabla1[[#This Row],[Ingresos]]-Tabla1[[#This Row],[Gastos]]</f>
        <v>57908.199999999983</v>
      </c>
      <c r="H796" s="13">
        <f>Tabla1[[#This Row],[Beneficio]]/Tabla1[[#This Row],[Ingresos]]</f>
        <v>0.22619047619047614</v>
      </c>
    </row>
    <row r="797" spans="1:8" x14ac:dyDescent="0.35">
      <c r="A797" s="2">
        <v>43618</v>
      </c>
      <c r="B797" t="s">
        <v>6</v>
      </c>
      <c r="C797" t="s">
        <v>43</v>
      </c>
      <c r="D797" t="s">
        <v>17</v>
      </c>
      <c r="E797" s="7">
        <v>2364.7399999999998</v>
      </c>
      <c r="F797" s="7">
        <v>1778</v>
      </c>
      <c r="G797" s="8">
        <f>Tabla1[[#This Row],[Ingresos]]-Tabla1[[#This Row],[Gastos]]</f>
        <v>586.73999999999978</v>
      </c>
      <c r="H797" s="13">
        <f>Tabla1[[#This Row],[Beneficio]]/Tabla1[[#This Row],[Ingresos]]</f>
        <v>0.24812030075187963</v>
      </c>
    </row>
    <row r="798" spans="1:8" x14ac:dyDescent="0.35">
      <c r="A798" s="2">
        <v>43619</v>
      </c>
      <c r="B798" t="s">
        <v>6</v>
      </c>
      <c r="C798" t="s">
        <v>43</v>
      </c>
      <c r="D798" t="s">
        <v>16</v>
      </c>
      <c r="E798" s="7">
        <v>76877.163461538454</v>
      </c>
      <c r="F798" s="7">
        <v>65940</v>
      </c>
      <c r="G798" s="8">
        <f>Tabla1[[#This Row],[Ingresos]]-Tabla1[[#This Row],[Gastos]]</f>
        <v>10937.163461538454</v>
      </c>
      <c r="H798" s="13">
        <f>Tabla1[[#This Row],[Beneficio]]/Tabla1[[#This Row],[Ingresos]]</f>
        <v>0.14226804123711331</v>
      </c>
    </row>
    <row r="799" spans="1:8" x14ac:dyDescent="0.35">
      <c r="A799" s="2">
        <v>43619</v>
      </c>
      <c r="B799" t="s">
        <v>8</v>
      </c>
      <c r="C799" t="s">
        <v>13</v>
      </c>
      <c r="D799" t="s">
        <v>17</v>
      </c>
      <c r="E799" s="7">
        <v>13937.28</v>
      </c>
      <c r="F799" s="7">
        <v>7258.9999999999991</v>
      </c>
      <c r="G799" s="8">
        <f>Tabla1[[#This Row],[Ingresos]]-Tabla1[[#This Row],[Gastos]]</f>
        <v>6678.2800000000016</v>
      </c>
      <c r="H799" s="13">
        <f>Tabla1[[#This Row],[Beneficio]]/Tabla1[[#This Row],[Ingresos]]</f>
        <v>0.47916666666666674</v>
      </c>
    </row>
    <row r="800" spans="1:8" x14ac:dyDescent="0.35">
      <c r="A800" s="2">
        <v>43619</v>
      </c>
      <c r="B800" t="s">
        <v>8</v>
      </c>
      <c r="C800" t="s">
        <v>10</v>
      </c>
      <c r="D800" t="s">
        <v>18</v>
      </c>
      <c r="E800" s="7">
        <v>7794.8639999999996</v>
      </c>
      <c r="F800" s="7">
        <v>6643.3499999999995</v>
      </c>
      <c r="G800" s="8">
        <f>Tabla1[[#This Row],[Ingresos]]-Tabla1[[#This Row],[Gastos]]</f>
        <v>1151.5140000000001</v>
      </c>
      <c r="H800" s="13">
        <f>Tabla1[[#This Row],[Beneficio]]/Tabla1[[#This Row],[Ingresos]]</f>
        <v>0.14772727272727276</v>
      </c>
    </row>
    <row r="801" spans="1:8" x14ac:dyDescent="0.35">
      <c r="A801" s="2">
        <v>43619</v>
      </c>
      <c r="B801" t="s">
        <v>8</v>
      </c>
      <c r="C801" t="s">
        <v>43</v>
      </c>
      <c r="D801" t="s">
        <v>18</v>
      </c>
      <c r="E801" s="7">
        <v>17719.129680000002</v>
      </c>
      <c r="F801" s="7">
        <v>13700.358</v>
      </c>
      <c r="G801" s="8">
        <f>Tabla1[[#This Row],[Ingresos]]-Tabla1[[#This Row],[Gastos]]</f>
        <v>4018.7716800000017</v>
      </c>
      <c r="H801" s="13">
        <f>Tabla1[[#This Row],[Beneficio]]/Tabla1[[#This Row],[Ingresos]]</f>
        <v>0.22680412371134029</v>
      </c>
    </row>
    <row r="802" spans="1:8" x14ac:dyDescent="0.35">
      <c r="A802" s="2">
        <v>43620</v>
      </c>
      <c r="B802" t="s">
        <v>9</v>
      </c>
      <c r="C802" t="s">
        <v>43</v>
      </c>
      <c r="D802" t="s">
        <v>17</v>
      </c>
      <c r="E802" s="7">
        <v>11561.06</v>
      </c>
      <c r="F802" s="7">
        <v>6149.5</v>
      </c>
      <c r="G802" s="8">
        <f>Tabla1[[#This Row],[Ingresos]]-Tabla1[[#This Row],[Gastos]]</f>
        <v>5411.5599999999995</v>
      </c>
      <c r="H802" s="13">
        <f>Tabla1[[#This Row],[Beneficio]]/Tabla1[[#This Row],[Ingresos]]</f>
        <v>0.46808510638297868</v>
      </c>
    </row>
    <row r="803" spans="1:8" x14ac:dyDescent="0.35">
      <c r="A803" s="2">
        <v>43620</v>
      </c>
      <c r="B803" t="s">
        <v>5</v>
      </c>
      <c r="C803" t="s">
        <v>10</v>
      </c>
      <c r="D803" t="s">
        <v>17</v>
      </c>
      <c r="E803" s="7">
        <v>123996.95</v>
      </c>
      <c r="F803" s="7">
        <v>107107</v>
      </c>
      <c r="G803" s="8">
        <f>Tabla1[[#This Row],[Ingresos]]-Tabla1[[#This Row],[Gastos]]</f>
        <v>16889.949999999997</v>
      </c>
      <c r="H803" s="13">
        <f>Tabla1[[#This Row],[Beneficio]]/Tabla1[[#This Row],[Ingresos]]</f>
        <v>0.13621262458471758</v>
      </c>
    </row>
    <row r="804" spans="1:8" x14ac:dyDescent="0.35">
      <c r="A804" s="2">
        <v>43620</v>
      </c>
      <c r="B804" t="s">
        <v>7</v>
      </c>
      <c r="C804" t="s">
        <v>43</v>
      </c>
      <c r="D804" t="s">
        <v>17</v>
      </c>
      <c r="E804" s="7">
        <v>1600.8790000000001</v>
      </c>
      <c r="F804" s="7">
        <v>1143.4849999999999</v>
      </c>
      <c r="G804" s="8">
        <f>Tabla1[[#This Row],[Ingresos]]-Tabla1[[#This Row],[Gastos]]</f>
        <v>457.39400000000023</v>
      </c>
      <c r="H804" s="13">
        <f>Tabla1[[#This Row],[Beneficio]]/Tabla1[[#This Row],[Ingresos]]</f>
        <v>0.28571428571428581</v>
      </c>
    </row>
    <row r="805" spans="1:8" x14ac:dyDescent="0.35">
      <c r="A805" s="2">
        <v>43623</v>
      </c>
      <c r="B805" t="s">
        <v>6</v>
      </c>
      <c r="C805" t="s">
        <v>10</v>
      </c>
      <c r="D805" t="s">
        <v>16</v>
      </c>
      <c r="E805" s="7">
        <v>46555.889423076915</v>
      </c>
      <c r="F805" s="7">
        <v>45570</v>
      </c>
      <c r="G805" s="8">
        <f>Tabla1[[#This Row],[Ingresos]]-Tabla1[[#This Row],[Gastos]]</f>
        <v>985.88942307691468</v>
      </c>
      <c r="H805" s="13">
        <f>Tabla1[[#This Row],[Beneficio]]/Tabla1[[#This Row],[Ingresos]]</f>
        <v>2.1176470588235116E-2</v>
      </c>
    </row>
    <row r="806" spans="1:8" x14ac:dyDescent="0.35">
      <c r="A806" s="2">
        <v>43625</v>
      </c>
      <c r="B806" t="s">
        <v>5</v>
      </c>
      <c r="C806" t="s">
        <v>11</v>
      </c>
      <c r="D806" t="s">
        <v>16</v>
      </c>
      <c r="E806" s="7">
        <v>46507.629807692305</v>
      </c>
      <c r="F806" s="7">
        <v>39085.199999999997</v>
      </c>
      <c r="G806" s="8">
        <f>Tabla1[[#This Row],[Ingresos]]-Tabla1[[#This Row],[Gastos]]</f>
        <v>7422.4298076923078</v>
      </c>
      <c r="H806" s="13">
        <f>Tabla1[[#This Row],[Beneficio]]/Tabla1[[#This Row],[Ingresos]]</f>
        <v>0.1595959595959596</v>
      </c>
    </row>
    <row r="807" spans="1:8" x14ac:dyDescent="0.35">
      <c r="A807" s="2">
        <v>43625</v>
      </c>
      <c r="B807" t="s">
        <v>7</v>
      </c>
      <c r="C807" t="s">
        <v>43</v>
      </c>
      <c r="D807" t="s">
        <v>17</v>
      </c>
      <c r="E807" s="7">
        <v>14271.487999999999</v>
      </c>
      <c r="F807" s="7">
        <v>8108.7999999999993</v>
      </c>
      <c r="G807" s="8">
        <f>Tabla1[[#This Row],[Ingresos]]-Tabla1[[#This Row],[Gastos]]</f>
        <v>6162.6880000000001</v>
      </c>
      <c r="H807" s="13">
        <f>Tabla1[[#This Row],[Beneficio]]/Tabla1[[#This Row],[Ingresos]]</f>
        <v>0.43181818181818182</v>
      </c>
    </row>
    <row r="808" spans="1:8" x14ac:dyDescent="0.35">
      <c r="A808" s="2">
        <v>43625</v>
      </c>
      <c r="B808" t="s">
        <v>6</v>
      </c>
      <c r="C808" t="s">
        <v>43</v>
      </c>
      <c r="D808" t="s">
        <v>18</v>
      </c>
      <c r="E808" s="7">
        <v>6107.4782999999989</v>
      </c>
      <c r="F808" s="7">
        <v>5265.0675000000001</v>
      </c>
      <c r="G808" s="8">
        <f>Tabla1[[#This Row],[Ingresos]]-Tabla1[[#This Row],[Gastos]]</f>
        <v>842.41079999999874</v>
      </c>
      <c r="H808" s="13">
        <f>Tabla1[[#This Row],[Beneficio]]/Tabla1[[#This Row],[Ingresos]]</f>
        <v>0.13793103448275845</v>
      </c>
    </row>
    <row r="809" spans="1:8" x14ac:dyDescent="0.35">
      <c r="A809" s="2">
        <v>43626</v>
      </c>
      <c r="B809" t="s">
        <v>5</v>
      </c>
      <c r="C809" t="s">
        <v>43</v>
      </c>
      <c r="D809" t="s">
        <v>17</v>
      </c>
      <c r="E809" s="7">
        <v>17708.949999999997</v>
      </c>
      <c r="F809" s="7">
        <v>9320.5</v>
      </c>
      <c r="G809" s="8">
        <f>Tabla1[[#This Row],[Ingresos]]-Tabla1[[#This Row],[Gastos]]</f>
        <v>8388.4499999999971</v>
      </c>
      <c r="H809" s="13">
        <f>Tabla1[[#This Row],[Beneficio]]/Tabla1[[#This Row],[Ingresos]]</f>
        <v>0.47368421052631571</v>
      </c>
    </row>
    <row r="810" spans="1:8" x14ac:dyDescent="0.35">
      <c r="A810" s="2">
        <v>43628</v>
      </c>
      <c r="B810" t="s">
        <v>5</v>
      </c>
      <c r="C810" t="s">
        <v>10</v>
      </c>
      <c r="D810" t="s">
        <v>16</v>
      </c>
      <c r="E810" s="7">
        <v>3231.1730769230767</v>
      </c>
      <c r="F810" s="7">
        <v>2000.2499999999998</v>
      </c>
      <c r="G810" s="8">
        <f>Tabla1[[#This Row],[Ingresos]]-Tabla1[[#This Row],[Gastos]]</f>
        <v>1230.9230769230769</v>
      </c>
      <c r="H810" s="13">
        <f>Tabla1[[#This Row],[Beneficio]]/Tabla1[[#This Row],[Ingresos]]</f>
        <v>0.38095238095238099</v>
      </c>
    </row>
    <row r="811" spans="1:8" x14ac:dyDescent="0.35">
      <c r="A811" s="2">
        <v>43630</v>
      </c>
      <c r="B811" t="s">
        <v>6</v>
      </c>
      <c r="C811" t="s">
        <v>11</v>
      </c>
      <c r="D811" t="s">
        <v>17</v>
      </c>
      <c r="E811" s="7">
        <v>8811.2241000000013</v>
      </c>
      <c r="F811" s="7">
        <v>6841.0124999999998</v>
      </c>
      <c r="G811" s="8">
        <f>Tabla1[[#This Row],[Ingresos]]-Tabla1[[#This Row],[Gastos]]</f>
        <v>1970.2116000000015</v>
      </c>
      <c r="H811" s="13">
        <f>Tabla1[[#This Row],[Beneficio]]/Tabla1[[#This Row],[Ingresos]]</f>
        <v>0.22360248447204983</v>
      </c>
    </row>
    <row r="812" spans="1:8" x14ac:dyDescent="0.35">
      <c r="A812" s="2">
        <v>43630</v>
      </c>
      <c r="B812" t="s">
        <v>5</v>
      </c>
      <c r="C812" t="s">
        <v>12</v>
      </c>
      <c r="D812" t="s">
        <v>19</v>
      </c>
      <c r="E812" s="7">
        <v>133975.79999999999</v>
      </c>
      <c r="F812" s="7">
        <v>120049.99999999999</v>
      </c>
      <c r="G812" s="8">
        <f>Tabla1[[#This Row],[Ingresos]]-Tabla1[[#This Row],[Gastos]]</f>
        <v>13925.800000000003</v>
      </c>
      <c r="H812" s="13">
        <f>Tabla1[[#This Row],[Beneficio]]/Tabla1[[#This Row],[Ingresos]]</f>
        <v>0.10394265232974914</v>
      </c>
    </row>
    <row r="813" spans="1:8" x14ac:dyDescent="0.35">
      <c r="A813" s="2">
        <v>43630</v>
      </c>
      <c r="B813" t="s">
        <v>5</v>
      </c>
      <c r="C813" t="s">
        <v>12</v>
      </c>
      <c r="D813" t="s">
        <v>19</v>
      </c>
      <c r="E813" s="7">
        <v>91203</v>
      </c>
      <c r="F813" s="7">
        <v>88375</v>
      </c>
      <c r="G813" s="8">
        <f>Tabla1[[#This Row],[Ingresos]]-Tabla1[[#This Row],[Gastos]]</f>
        <v>2828</v>
      </c>
      <c r="H813" s="13">
        <f>Tabla1[[#This Row],[Beneficio]]/Tabla1[[#This Row],[Ingresos]]</f>
        <v>3.1007751937984496E-2</v>
      </c>
    </row>
    <row r="814" spans="1:8" x14ac:dyDescent="0.35">
      <c r="A814" s="2">
        <v>43631</v>
      </c>
      <c r="B814" t="s">
        <v>6</v>
      </c>
      <c r="C814" t="s">
        <v>10</v>
      </c>
      <c r="D814" t="s">
        <v>16</v>
      </c>
      <c r="E814" s="7">
        <v>83536.586538461532</v>
      </c>
      <c r="F814" s="7">
        <v>71652</v>
      </c>
      <c r="G814" s="8">
        <f>Tabla1[[#This Row],[Ingresos]]-Tabla1[[#This Row],[Gastos]]</f>
        <v>11884.586538461532</v>
      </c>
      <c r="H814" s="13">
        <f>Tabla1[[#This Row],[Beneficio]]/Tabla1[[#This Row],[Ingresos]]</f>
        <v>0.14226804123711334</v>
      </c>
    </row>
    <row r="815" spans="1:8" x14ac:dyDescent="0.35">
      <c r="A815" s="2">
        <v>43632</v>
      </c>
      <c r="B815" t="s">
        <v>8</v>
      </c>
      <c r="C815" t="s">
        <v>43</v>
      </c>
      <c r="D815" t="s">
        <v>16</v>
      </c>
      <c r="E815" s="7">
        <v>119495.24999999999</v>
      </c>
      <c r="F815" s="7">
        <v>110466.72</v>
      </c>
      <c r="G815" s="8">
        <f>Tabla1[[#This Row],[Ingresos]]-Tabla1[[#This Row],[Gastos]]</f>
        <v>9028.5299999999843</v>
      </c>
      <c r="H815" s="13">
        <f>Tabla1[[#This Row],[Beneficio]]/Tabla1[[#This Row],[Ingresos]]</f>
        <v>7.5555555555555431E-2</v>
      </c>
    </row>
    <row r="816" spans="1:8" x14ac:dyDescent="0.35">
      <c r="A816" s="2">
        <v>43633</v>
      </c>
      <c r="B816" t="s">
        <v>6</v>
      </c>
      <c r="C816" t="s">
        <v>13</v>
      </c>
      <c r="D816" t="s">
        <v>15</v>
      </c>
      <c r="E816" s="7">
        <v>7136.6294999999991</v>
      </c>
      <c r="F816" s="7">
        <v>5228.2999999999993</v>
      </c>
      <c r="G816" s="8">
        <f>Tabla1[[#This Row],[Ingresos]]-Tabla1[[#This Row],[Gastos]]</f>
        <v>1908.3294999999998</v>
      </c>
      <c r="H816" s="13">
        <f>Tabla1[[#This Row],[Beneficio]]/Tabla1[[#This Row],[Ingresos]]</f>
        <v>0.26739926739926739</v>
      </c>
    </row>
    <row r="817" spans="1:8" x14ac:dyDescent="0.35">
      <c r="A817" s="2">
        <v>43633</v>
      </c>
      <c r="B817" t="s">
        <v>6</v>
      </c>
      <c r="C817" t="s">
        <v>12</v>
      </c>
      <c r="D817" t="s">
        <v>16</v>
      </c>
      <c r="E817" s="7">
        <v>190323</v>
      </c>
      <c r="F817" s="7">
        <v>164946.59999999998</v>
      </c>
      <c r="G817" s="8">
        <f>Tabla1[[#This Row],[Ingresos]]-Tabla1[[#This Row],[Gastos]]</f>
        <v>25376.400000000023</v>
      </c>
      <c r="H817" s="13">
        <f>Tabla1[[#This Row],[Beneficio]]/Tabla1[[#This Row],[Ingresos]]</f>
        <v>0.13333333333333344</v>
      </c>
    </row>
    <row r="818" spans="1:8" x14ac:dyDescent="0.35">
      <c r="A818" s="2">
        <v>43634</v>
      </c>
      <c r="B818" t="s">
        <v>5</v>
      </c>
      <c r="C818" t="s">
        <v>11</v>
      </c>
      <c r="D818" t="s">
        <v>15</v>
      </c>
      <c r="E818" s="7">
        <v>7978.0049999999992</v>
      </c>
      <c r="F818" s="7">
        <v>6184.5</v>
      </c>
      <c r="G818" s="8">
        <f>Tabla1[[#This Row],[Ingresos]]-Tabla1[[#This Row],[Gastos]]</f>
        <v>1793.5049999999992</v>
      </c>
      <c r="H818" s="13">
        <f>Tabla1[[#This Row],[Beneficio]]/Tabla1[[#This Row],[Ingresos]]</f>
        <v>0.22480620155038752</v>
      </c>
    </row>
    <row r="819" spans="1:8" x14ac:dyDescent="0.35">
      <c r="A819" s="2">
        <v>43634</v>
      </c>
      <c r="B819" t="s">
        <v>9</v>
      </c>
      <c r="C819" t="s">
        <v>11</v>
      </c>
      <c r="D819" t="s">
        <v>17</v>
      </c>
      <c r="E819" s="7">
        <v>4878.9745899999998</v>
      </c>
      <c r="F819" s="7">
        <v>3707.4274999999998</v>
      </c>
      <c r="G819" s="8">
        <f>Tabla1[[#This Row],[Ingresos]]-Tabla1[[#This Row],[Gastos]]</f>
        <v>1171.54709</v>
      </c>
      <c r="H819" s="13">
        <f>Tabla1[[#This Row],[Beneficio]]/Tabla1[[#This Row],[Ingresos]]</f>
        <v>0.24012158054711247</v>
      </c>
    </row>
    <row r="820" spans="1:8" x14ac:dyDescent="0.35">
      <c r="A820" s="2">
        <v>43634</v>
      </c>
      <c r="B820" t="s">
        <v>9</v>
      </c>
      <c r="C820" t="s">
        <v>13</v>
      </c>
      <c r="D820" t="s">
        <v>19</v>
      </c>
      <c r="E820" s="7">
        <v>162001.34999999998</v>
      </c>
      <c r="F820" s="7">
        <v>145162.5</v>
      </c>
      <c r="G820" s="8">
        <f>Tabla1[[#This Row],[Ingresos]]-Tabla1[[#This Row],[Gastos]]</f>
        <v>16838.849999999977</v>
      </c>
      <c r="H820" s="13">
        <f>Tabla1[[#This Row],[Beneficio]]/Tabla1[[#This Row],[Ingresos]]</f>
        <v>0.10394265232974897</v>
      </c>
    </row>
    <row r="821" spans="1:8" x14ac:dyDescent="0.35">
      <c r="A821" s="2">
        <v>43634</v>
      </c>
      <c r="B821" t="s">
        <v>6</v>
      </c>
      <c r="C821" t="s">
        <v>10</v>
      </c>
      <c r="D821" t="s">
        <v>18</v>
      </c>
      <c r="E821" s="7">
        <v>9729.7199999999993</v>
      </c>
      <c r="F821" s="7">
        <v>8108.0999999999995</v>
      </c>
      <c r="G821" s="8">
        <f>Tabla1[[#This Row],[Ingresos]]-Tabla1[[#This Row],[Gastos]]</f>
        <v>1621.62</v>
      </c>
      <c r="H821" s="13">
        <f>Tabla1[[#This Row],[Beneficio]]/Tabla1[[#This Row],[Ingresos]]</f>
        <v>0.16666666666666666</v>
      </c>
    </row>
    <row r="822" spans="1:8" x14ac:dyDescent="0.35">
      <c r="A822" s="2">
        <v>43635</v>
      </c>
      <c r="B822" t="s">
        <v>8</v>
      </c>
      <c r="C822" t="s">
        <v>10</v>
      </c>
      <c r="D822" t="s">
        <v>17</v>
      </c>
      <c r="E822" s="7">
        <v>16277.486400000002</v>
      </c>
      <c r="F822" s="7">
        <v>8846.4600000000009</v>
      </c>
      <c r="G822" s="8">
        <f>Tabla1[[#This Row],[Ingresos]]-Tabla1[[#This Row],[Gastos]]</f>
        <v>7431.0264000000006</v>
      </c>
      <c r="H822" s="13">
        <f>Tabla1[[#This Row],[Beneficio]]/Tabla1[[#This Row],[Ingresos]]</f>
        <v>0.45652173913043476</v>
      </c>
    </row>
    <row r="823" spans="1:8" x14ac:dyDescent="0.35">
      <c r="A823" s="2">
        <v>43635</v>
      </c>
      <c r="B823" t="s">
        <v>7</v>
      </c>
      <c r="C823" t="s">
        <v>10</v>
      </c>
      <c r="D823" t="s">
        <v>19</v>
      </c>
      <c r="E823" s="7">
        <v>803209.68</v>
      </c>
      <c r="F823" s="7">
        <v>727545</v>
      </c>
      <c r="G823" s="8">
        <f>Tabla1[[#This Row],[Ingresos]]-Tabla1[[#This Row],[Gastos]]</f>
        <v>75664.680000000051</v>
      </c>
      <c r="H823" s="13">
        <f>Tabla1[[#This Row],[Beneficio]]/Tabla1[[#This Row],[Ingresos]]</f>
        <v>9.4202898550724695E-2</v>
      </c>
    </row>
    <row r="824" spans="1:8" x14ac:dyDescent="0.35">
      <c r="A824" s="2">
        <v>43636</v>
      </c>
      <c r="B824" t="s">
        <v>9</v>
      </c>
      <c r="C824" t="s">
        <v>10</v>
      </c>
      <c r="D824" t="s">
        <v>16</v>
      </c>
      <c r="E824" s="7">
        <v>28448.4375</v>
      </c>
      <c r="F824" s="7">
        <v>27846</v>
      </c>
      <c r="G824" s="8">
        <f>Tabla1[[#This Row],[Ingresos]]-Tabla1[[#This Row],[Gastos]]</f>
        <v>602.4375</v>
      </c>
      <c r="H824" s="13">
        <f>Tabla1[[#This Row],[Beneficio]]/Tabla1[[#This Row],[Ingresos]]</f>
        <v>2.1176470588235293E-2</v>
      </c>
    </row>
    <row r="825" spans="1:8" x14ac:dyDescent="0.35">
      <c r="A825" s="2">
        <v>43637</v>
      </c>
      <c r="B825" t="s">
        <v>5</v>
      </c>
      <c r="C825" t="s">
        <v>43</v>
      </c>
      <c r="D825" t="s">
        <v>16</v>
      </c>
      <c r="E825" s="7">
        <v>427862.33437499992</v>
      </c>
      <c r="F825" s="7">
        <v>391188.42</v>
      </c>
      <c r="G825" s="8">
        <f>Tabla1[[#This Row],[Ingresos]]-Tabla1[[#This Row],[Gastos]]</f>
        <v>36673.914374999935</v>
      </c>
      <c r="H825" s="13">
        <f>Tabla1[[#This Row],[Beneficio]]/Tabla1[[#This Row],[Ingresos]]</f>
        <v>8.5714285714285576E-2</v>
      </c>
    </row>
    <row r="826" spans="1:8" x14ac:dyDescent="0.35">
      <c r="A826" s="2">
        <v>43639</v>
      </c>
      <c r="B826" t="s">
        <v>7</v>
      </c>
      <c r="C826" t="s">
        <v>12</v>
      </c>
      <c r="D826" t="s">
        <v>16</v>
      </c>
      <c r="E826" s="7">
        <v>62899.745192307688</v>
      </c>
      <c r="F826" s="7">
        <v>58147.32</v>
      </c>
      <c r="G826" s="8">
        <f>Tabla1[[#This Row],[Ingresos]]-Tabla1[[#This Row],[Gastos]]</f>
        <v>4752.4251923076881</v>
      </c>
      <c r="H826" s="13">
        <f>Tabla1[[#This Row],[Beneficio]]/Tabla1[[#This Row],[Ingresos]]</f>
        <v>7.5555555555555501E-2</v>
      </c>
    </row>
    <row r="827" spans="1:8" x14ac:dyDescent="0.35">
      <c r="A827" s="2">
        <v>43639</v>
      </c>
      <c r="B827" t="s">
        <v>8</v>
      </c>
      <c r="C827" t="s">
        <v>13</v>
      </c>
      <c r="D827" t="s">
        <v>17</v>
      </c>
      <c r="E827" s="7">
        <v>10957.944479999998</v>
      </c>
      <c r="F827" s="7">
        <v>8416.24</v>
      </c>
      <c r="G827" s="8">
        <f>Tabla1[[#This Row],[Ingresos]]-Tabla1[[#This Row],[Gastos]]</f>
        <v>2541.7044799999985</v>
      </c>
      <c r="H827" s="13">
        <f>Tabla1[[#This Row],[Beneficio]]/Tabla1[[#This Row],[Ingresos]]</f>
        <v>0.23195084485407055</v>
      </c>
    </row>
    <row r="828" spans="1:8" x14ac:dyDescent="0.35">
      <c r="A828" s="2">
        <v>43639</v>
      </c>
      <c r="B828" t="s">
        <v>7</v>
      </c>
      <c r="C828" t="s">
        <v>13</v>
      </c>
      <c r="D828" t="s">
        <v>17</v>
      </c>
      <c r="E828" s="7">
        <v>3400.6279999999997</v>
      </c>
      <c r="F828" s="7">
        <v>1932.175</v>
      </c>
      <c r="G828" s="8">
        <f>Tabla1[[#This Row],[Ingresos]]-Tabla1[[#This Row],[Gastos]]</f>
        <v>1468.4529999999997</v>
      </c>
      <c r="H828" s="13">
        <f>Tabla1[[#This Row],[Beneficio]]/Tabla1[[#This Row],[Ingresos]]</f>
        <v>0.43181818181818177</v>
      </c>
    </row>
    <row r="829" spans="1:8" x14ac:dyDescent="0.35">
      <c r="A829" s="2">
        <v>43640</v>
      </c>
      <c r="B829" t="s">
        <v>6</v>
      </c>
      <c r="C829" t="s">
        <v>13</v>
      </c>
      <c r="D829" t="s">
        <v>15</v>
      </c>
      <c r="E829" s="7">
        <v>9904.9124999999985</v>
      </c>
      <c r="F829" s="7">
        <v>6807.5</v>
      </c>
      <c r="G829" s="8">
        <f>Tabla1[[#This Row],[Ingresos]]-Tabla1[[#This Row],[Gastos]]</f>
        <v>3097.4124999999985</v>
      </c>
      <c r="H829" s="13">
        <f>Tabla1[[#This Row],[Beneficio]]/Tabla1[[#This Row],[Ingresos]]</f>
        <v>0.31271477663230229</v>
      </c>
    </row>
    <row r="830" spans="1:8" x14ac:dyDescent="0.35">
      <c r="A830" s="2">
        <v>43640</v>
      </c>
      <c r="B830" t="s">
        <v>7</v>
      </c>
      <c r="C830" t="s">
        <v>11</v>
      </c>
      <c r="D830" t="s">
        <v>17</v>
      </c>
      <c r="E830" s="7">
        <v>37504.6</v>
      </c>
      <c r="F830" s="7">
        <v>31303.999999999996</v>
      </c>
      <c r="G830" s="8">
        <f>Tabla1[[#This Row],[Ingresos]]-Tabla1[[#This Row],[Gastos]]</f>
        <v>6200.6000000000022</v>
      </c>
      <c r="H830" s="13">
        <f>Tabla1[[#This Row],[Beneficio]]/Tabla1[[#This Row],[Ingresos]]</f>
        <v>0.16532905296950248</v>
      </c>
    </row>
    <row r="831" spans="1:8" x14ac:dyDescent="0.35">
      <c r="A831" s="2">
        <v>43640</v>
      </c>
      <c r="B831" t="s">
        <v>8</v>
      </c>
      <c r="C831" t="s">
        <v>43</v>
      </c>
      <c r="D831" t="s">
        <v>18</v>
      </c>
      <c r="E831" s="7">
        <v>3699.192</v>
      </c>
      <c r="F831" s="7">
        <v>2860.2</v>
      </c>
      <c r="G831" s="8">
        <f>Tabla1[[#This Row],[Ingresos]]-Tabla1[[#This Row],[Gastos]]</f>
        <v>838.99200000000019</v>
      </c>
      <c r="H831" s="13">
        <f>Tabla1[[#This Row],[Beneficio]]/Tabla1[[#This Row],[Ingresos]]</f>
        <v>0.22680412371134026</v>
      </c>
    </row>
    <row r="832" spans="1:8" x14ac:dyDescent="0.35">
      <c r="A832" s="2">
        <v>43641</v>
      </c>
      <c r="B832" t="s">
        <v>9</v>
      </c>
      <c r="C832" t="s">
        <v>10</v>
      </c>
      <c r="D832" t="s">
        <v>17</v>
      </c>
      <c r="E832" s="7">
        <v>3647.2169999999992</v>
      </c>
      <c r="F832" s="7">
        <v>3029.25</v>
      </c>
      <c r="G832" s="8">
        <f>Tabla1[[#This Row],[Ingresos]]-Tabla1[[#This Row],[Gastos]]</f>
        <v>617.96699999999919</v>
      </c>
      <c r="H832" s="13">
        <f>Tabla1[[#This Row],[Beneficio]]/Tabla1[[#This Row],[Ingresos]]</f>
        <v>0.16943521594684366</v>
      </c>
    </row>
    <row r="833" spans="1:8" x14ac:dyDescent="0.35">
      <c r="A833" s="2">
        <v>43642</v>
      </c>
      <c r="B833" t="s">
        <v>6</v>
      </c>
      <c r="C833" t="s">
        <v>12</v>
      </c>
      <c r="D833" t="s">
        <v>19</v>
      </c>
      <c r="E833" s="7">
        <v>368397.80249999993</v>
      </c>
      <c r="F833" s="7">
        <v>337360.625</v>
      </c>
      <c r="G833" s="8">
        <f>Tabla1[[#This Row],[Ingresos]]-Tabla1[[#This Row],[Gastos]]</f>
        <v>31037.177499999932</v>
      </c>
      <c r="H833" s="13">
        <f>Tabla1[[#This Row],[Beneficio]]/Tabla1[[#This Row],[Ingresos]]</f>
        <v>8.4249084249084075E-2</v>
      </c>
    </row>
    <row r="834" spans="1:8" x14ac:dyDescent="0.35">
      <c r="A834" s="2">
        <v>43643</v>
      </c>
      <c r="B834" t="s">
        <v>9</v>
      </c>
      <c r="C834" t="s">
        <v>43</v>
      </c>
      <c r="D834" t="s">
        <v>15</v>
      </c>
      <c r="E834" s="7">
        <v>17632.458900000001</v>
      </c>
      <c r="F834" s="7">
        <v>12505.289999999999</v>
      </c>
      <c r="G834" s="8">
        <f>Tabla1[[#This Row],[Ingresos]]-Tabla1[[#This Row],[Gastos]]</f>
        <v>5127.1689000000024</v>
      </c>
      <c r="H834" s="13">
        <f>Tabla1[[#This Row],[Beneficio]]/Tabla1[[#This Row],[Ingresos]]</f>
        <v>0.29078014184397172</v>
      </c>
    </row>
    <row r="835" spans="1:8" x14ac:dyDescent="0.35">
      <c r="A835" s="2">
        <v>43643</v>
      </c>
      <c r="B835" t="s">
        <v>9</v>
      </c>
      <c r="C835" t="s">
        <v>13</v>
      </c>
      <c r="D835" t="s">
        <v>17</v>
      </c>
      <c r="E835" s="7">
        <v>586274.80799999996</v>
      </c>
      <c r="F835" s="7">
        <v>453665.02999999997</v>
      </c>
      <c r="G835" s="8">
        <f>Tabla1[[#This Row],[Ingresos]]-Tabla1[[#This Row],[Gastos]]</f>
        <v>132609.77799999999</v>
      </c>
      <c r="H835" s="13">
        <f>Tabla1[[#This Row],[Beneficio]]/Tabla1[[#This Row],[Ingresos]]</f>
        <v>0.22619047619047619</v>
      </c>
    </row>
    <row r="836" spans="1:8" x14ac:dyDescent="0.35">
      <c r="A836" s="2">
        <v>43643</v>
      </c>
      <c r="B836" t="s">
        <v>6</v>
      </c>
      <c r="C836" t="s">
        <v>10</v>
      </c>
      <c r="D836" t="s">
        <v>17</v>
      </c>
      <c r="E836" s="7">
        <v>9550.5409999999993</v>
      </c>
      <c r="F836" s="7">
        <v>5080.0749999999998</v>
      </c>
      <c r="G836" s="8">
        <f>Tabla1[[#This Row],[Ingresos]]-Tabla1[[#This Row],[Gastos]]</f>
        <v>4470.4659999999994</v>
      </c>
      <c r="H836" s="13">
        <f>Tabla1[[#This Row],[Beneficio]]/Tabla1[[#This Row],[Ingresos]]</f>
        <v>0.46808510638297868</v>
      </c>
    </row>
    <row r="837" spans="1:8" x14ac:dyDescent="0.35">
      <c r="A837" s="2">
        <v>43643</v>
      </c>
      <c r="B837" t="s">
        <v>6</v>
      </c>
      <c r="C837" t="s">
        <v>13</v>
      </c>
      <c r="D837" t="s">
        <v>18</v>
      </c>
      <c r="E837" s="7">
        <v>14731.977959999998</v>
      </c>
      <c r="F837" s="7">
        <v>12699.980999999998</v>
      </c>
      <c r="G837" s="8">
        <f>Tabla1[[#This Row],[Ingresos]]-Tabla1[[#This Row],[Gastos]]</f>
        <v>2031.9969600000004</v>
      </c>
      <c r="H837" s="13">
        <f>Tabla1[[#This Row],[Beneficio]]/Tabla1[[#This Row],[Ingresos]]</f>
        <v>0.13793103448275867</v>
      </c>
    </row>
    <row r="838" spans="1:8" x14ac:dyDescent="0.35">
      <c r="A838" s="2">
        <v>43643</v>
      </c>
      <c r="B838" t="s">
        <v>5</v>
      </c>
      <c r="C838" t="s">
        <v>43</v>
      </c>
      <c r="D838" t="s">
        <v>18</v>
      </c>
      <c r="E838" s="7">
        <v>5473.1913599999998</v>
      </c>
      <c r="F838" s="7">
        <v>4773.1319999999996</v>
      </c>
      <c r="G838" s="8">
        <f>Tabla1[[#This Row],[Ingresos]]-Tabla1[[#This Row],[Gastos]]</f>
        <v>700.0593600000002</v>
      </c>
      <c r="H838" s="13">
        <f>Tabla1[[#This Row],[Beneficio]]/Tabla1[[#This Row],[Ingresos]]</f>
        <v>0.12790697674418608</v>
      </c>
    </row>
    <row r="839" spans="1:8" x14ac:dyDescent="0.35">
      <c r="A839" s="2">
        <v>43645</v>
      </c>
      <c r="B839" t="s">
        <v>7</v>
      </c>
      <c r="C839" t="s">
        <v>43</v>
      </c>
      <c r="D839" t="s">
        <v>16</v>
      </c>
      <c r="E839" s="7">
        <v>2496.1730769230767</v>
      </c>
      <c r="F839" s="7">
        <v>1545.25</v>
      </c>
      <c r="G839" s="8">
        <f>Tabla1[[#This Row],[Ingresos]]-Tabla1[[#This Row],[Gastos]]</f>
        <v>950.92307692307668</v>
      </c>
      <c r="H839" s="13">
        <f>Tabla1[[#This Row],[Beneficio]]/Tabla1[[#This Row],[Ingresos]]</f>
        <v>0.38095238095238088</v>
      </c>
    </row>
    <row r="840" spans="1:8" x14ac:dyDescent="0.35">
      <c r="A840" s="2">
        <v>43646</v>
      </c>
      <c r="B840" t="s">
        <v>9</v>
      </c>
      <c r="C840" t="s">
        <v>10</v>
      </c>
      <c r="D840" t="s">
        <v>16</v>
      </c>
      <c r="E840" s="7">
        <v>39501</v>
      </c>
      <c r="F840" s="7">
        <v>34594.559999999998</v>
      </c>
      <c r="G840" s="8">
        <f>Tabla1[[#This Row],[Ingresos]]-Tabla1[[#This Row],[Gastos]]</f>
        <v>4906.4400000000023</v>
      </c>
      <c r="H840" s="13">
        <f>Tabla1[[#This Row],[Beneficio]]/Tabla1[[#This Row],[Ingresos]]</f>
        <v>0.12421052631578954</v>
      </c>
    </row>
    <row r="841" spans="1:8" x14ac:dyDescent="0.35">
      <c r="A841" s="2">
        <v>43648</v>
      </c>
      <c r="B841" t="s">
        <v>9</v>
      </c>
      <c r="C841" t="s">
        <v>12</v>
      </c>
      <c r="D841" t="s">
        <v>17</v>
      </c>
      <c r="E841" s="7">
        <v>327648.3</v>
      </c>
      <c r="F841" s="7">
        <v>261715.99999999997</v>
      </c>
      <c r="G841" s="8">
        <f>Tabla1[[#This Row],[Ingresos]]-Tabla1[[#This Row],[Gastos]]</f>
        <v>65932.300000000017</v>
      </c>
      <c r="H841" s="13">
        <f>Tabla1[[#This Row],[Beneficio]]/Tabla1[[#This Row],[Ingresos]]</f>
        <v>0.20122887864823355</v>
      </c>
    </row>
    <row r="842" spans="1:8" x14ac:dyDescent="0.35">
      <c r="A842" s="2">
        <v>43648</v>
      </c>
      <c r="B842" t="s">
        <v>7</v>
      </c>
      <c r="C842" t="s">
        <v>12</v>
      </c>
      <c r="D842" t="s">
        <v>17</v>
      </c>
      <c r="E842" s="7">
        <v>5279.1374999999998</v>
      </c>
      <c r="F842" s="7">
        <v>4436.25</v>
      </c>
      <c r="G842" s="8">
        <f>Tabla1[[#This Row],[Ingresos]]-Tabla1[[#This Row],[Gastos]]</f>
        <v>842.88749999999982</v>
      </c>
      <c r="H842" s="13">
        <f>Tabla1[[#This Row],[Beneficio]]/Tabla1[[#This Row],[Ingresos]]</f>
        <v>0.15966386554621845</v>
      </c>
    </row>
    <row r="843" spans="1:8" x14ac:dyDescent="0.35">
      <c r="A843" s="2">
        <v>43650</v>
      </c>
      <c r="B843" t="s">
        <v>5</v>
      </c>
      <c r="C843" t="s">
        <v>43</v>
      </c>
      <c r="D843" t="s">
        <v>16</v>
      </c>
      <c r="E843" s="7">
        <v>33134.0625</v>
      </c>
      <c r="F843" s="7">
        <v>27846</v>
      </c>
      <c r="G843" s="8">
        <f>Tabla1[[#This Row],[Ingresos]]-Tabla1[[#This Row],[Gastos]]</f>
        <v>5288.0625</v>
      </c>
      <c r="H843" s="13">
        <f>Tabla1[[#This Row],[Beneficio]]/Tabla1[[#This Row],[Ingresos]]</f>
        <v>0.1595959595959596</v>
      </c>
    </row>
    <row r="844" spans="1:8" x14ac:dyDescent="0.35">
      <c r="A844" s="2">
        <v>43650</v>
      </c>
      <c r="B844" t="s">
        <v>9</v>
      </c>
      <c r="C844" t="s">
        <v>12</v>
      </c>
      <c r="D844" t="s">
        <v>17</v>
      </c>
      <c r="E844" s="7">
        <v>70449.75</v>
      </c>
      <c r="F844" s="7">
        <v>58148.999999999993</v>
      </c>
      <c r="G844" s="8">
        <f>Tabla1[[#This Row],[Ingresos]]-Tabla1[[#This Row],[Gastos]]</f>
        <v>12300.750000000007</v>
      </c>
      <c r="H844" s="13">
        <f>Tabla1[[#This Row],[Beneficio]]/Tabla1[[#This Row],[Ingresos]]</f>
        <v>0.1746031746031747</v>
      </c>
    </row>
    <row r="845" spans="1:8" x14ac:dyDescent="0.35">
      <c r="A845" s="2">
        <v>43650</v>
      </c>
      <c r="B845" t="s">
        <v>7</v>
      </c>
      <c r="C845" t="s">
        <v>13</v>
      </c>
      <c r="D845" t="s">
        <v>17</v>
      </c>
      <c r="E845" s="7">
        <v>6990.0599999999995</v>
      </c>
      <c r="F845" s="7">
        <v>3926.9999999999995</v>
      </c>
      <c r="G845" s="8">
        <f>Tabla1[[#This Row],[Ingresos]]-Tabla1[[#This Row],[Gastos]]</f>
        <v>3063.06</v>
      </c>
      <c r="H845" s="13">
        <f>Tabla1[[#This Row],[Beneficio]]/Tabla1[[#This Row],[Ingresos]]</f>
        <v>0.43820224719101125</v>
      </c>
    </row>
    <row r="846" spans="1:8" x14ac:dyDescent="0.35">
      <c r="A846" s="2">
        <v>43650</v>
      </c>
      <c r="B846" t="s">
        <v>9</v>
      </c>
      <c r="C846" t="s">
        <v>11</v>
      </c>
      <c r="D846" t="s">
        <v>19</v>
      </c>
      <c r="E846" s="7">
        <v>307924.47000000003</v>
      </c>
      <c r="F846" s="7">
        <v>285115.25</v>
      </c>
      <c r="G846" s="8">
        <f>Tabla1[[#This Row],[Ingresos]]-Tabla1[[#This Row],[Gastos]]</f>
        <v>22809.22000000003</v>
      </c>
      <c r="H846" s="13">
        <f>Tabla1[[#This Row],[Beneficio]]/Tabla1[[#This Row],[Ingresos]]</f>
        <v>7.4074074074074167E-2</v>
      </c>
    </row>
    <row r="847" spans="1:8" x14ac:dyDescent="0.35">
      <c r="A847" s="2">
        <v>43651</v>
      </c>
      <c r="B847" t="s">
        <v>9</v>
      </c>
      <c r="C847" t="s">
        <v>10</v>
      </c>
      <c r="D847" t="s">
        <v>15</v>
      </c>
      <c r="E847" s="7">
        <v>4788.3008250000003</v>
      </c>
      <c r="F847" s="7">
        <v>3224.4450000000002</v>
      </c>
      <c r="G847" s="8">
        <f>Tabla1[[#This Row],[Ingresos]]-Tabla1[[#This Row],[Gastos]]</f>
        <v>1563.8558250000001</v>
      </c>
      <c r="H847" s="13">
        <f>Tabla1[[#This Row],[Beneficio]]/Tabla1[[#This Row],[Ingresos]]</f>
        <v>0.32659932659932661</v>
      </c>
    </row>
    <row r="848" spans="1:8" x14ac:dyDescent="0.35">
      <c r="A848" s="2">
        <v>43651</v>
      </c>
      <c r="B848" t="s">
        <v>9</v>
      </c>
      <c r="C848" t="s">
        <v>13</v>
      </c>
      <c r="D848" t="s">
        <v>17</v>
      </c>
      <c r="E848" s="7">
        <v>40762.225350000001</v>
      </c>
      <c r="F848" s="7">
        <v>29409.974999999999</v>
      </c>
      <c r="G848" s="8">
        <f>Tabla1[[#This Row],[Ingresos]]-Tabla1[[#This Row],[Gastos]]</f>
        <v>11352.250350000002</v>
      </c>
      <c r="H848" s="13">
        <f>Tabla1[[#This Row],[Beneficio]]/Tabla1[[#This Row],[Ingresos]]</f>
        <v>0.27849927849927852</v>
      </c>
    </row>
    <row r="849" spans="1:8" x14ac:dyDescent="0.35">
      <c r="A849" s="2">
        <v>43651</v>
      </c>
      <c r="B849" t="s">
        <v>6</v>
      </c>
      <c r="C849" t="s">
        <v>12</v>
      </c>
      <c r="D849" t="s">
        <v>19</v>
      </c>
      <c r="E849" s="7">
        <v>932033.25599999994</v>
      </c>
      <c r="F849" s="7">
        <v>903133</v>
      </c>
      <c r="G849" s="8">
        <f>Tabla1[[#This Row],[Ingresos]]-Tabla1[[#This Row],[Gastos]]</f>
        <v>28900.255999999936</v>
      </c>
      <c r="H849" s="13">
        <f>Tabla1[[#This Row],[Beneficio]]/Tabla1[[#This Row],[Ingresos]]</f>
        <v>3.100775193798443E-2</v>
      </c>
    </row>
    <row r="850" spans="1:8" x14ac:dyDescent="0.35">
      <c r="A850" s="2">
        <v>43653</v>
      </c>
      <c r="B850" t="s">
        <v>8</v>
      </c>
      <c r="C850" t="s">
        <v>13</v>
      </c>
      <c r="D850" t="s">
        <v>17</v>
      </c>
      <c r="E850" s="7">
        <v>2586.0974999999999</v>
      </c>
      <c r="F850" s="7">
        <v>1986.2499999999998</v>
      </c>
      <c r="G850" s="8">
        <f>Tabla1[[#This Row],[Ingresos]]-Tabla1[[#This Row],[Gastos]]</f>
        <v>599.84750000000008</v>
      </c>
      <c r="H850" s="13">
        <f>Tabla1[[#This Row],[Beneficio]]/Tabla1[[#This Row],[Ingresos]]</f>
        <v>0.23195084485407069</v>
      </c>
    </row>
    <row r="851" spans="1:8" x14ac:dyDescent="0.35">
      <c r="A851" s="2">
        <v>43653</v>
      </c>
      <c r="B851" t="s">
        <v>6</v>
      </c>
      <c r="C851" t="s">
        <v>43</v>
      </c>
      <c r="D851" t="s">
        <v>17</v>
      </c>
      <c r="E851" s="7">
        <v>4574.4607999999998</v>
      </c>
      <c r="F851" s="7">
        <v>2486.12</v>
      </c>
      <c r="G851" s="8">
        <f>Tabla1[[#This Row],[Ingresos]]-Tabla1[[#This Row],[Gastos]]</f>
        <v>2088.3407999999999</v>
      </c>
      <c r="H851" s="13">
        <f>Tabla1[[#This Row],[Beneficio]]/Tabla1[[#This Row],[Ingresos]]</f>
        <v>0.45652173913043481</v>
      </c>
    </row>
    <row r="852" spans="1:8" x14ac:dyDescent="0.35">
      <c r="A852" s="2">
        <v>43653</v>
      </c>
      <c r="B852" t="s">
        <v>6</v>
      </c>
      <c r="C852" t="s">
        <v>43</v>
      </c>
      <c r="D852" t="s">
        <v>19</v>
      </c>
      <c r="E852" s="7">
        <v>64873.116000000002</v>
      </c>
      <c r="F852" s="7">
        <v>62138.999999999993</v>
      </c>
      <c r="G852" s="8">
        <f>Tabla1[[#This Row],[Ingresos]]-Tabla1[[#This Row],[Gastos]]</f>
        <v>2734.1160000000091</v>
      </c>
      <c r="H852" s="13">
        <f>Tabla1[[#This Row],[Beneficio]]/Tabla1[[#This Row],[Ingresos]]</f>
        <v>4.2145593869731941E-2</v>
      </c>
    </row>
    <row r="853" spans="1:8" x14ac:dyDescent="0.35">
      <c r="A853" s="2">
        <v>43654</v>
      </c>
      <c r="B853" t="s">
        <v>8</v>
      </c>
      <c r="C853" t="s">
        <v>10</v>
      </c>
      <c r="D853" t="s">
        <v>16</v>
      </c>
      <c r="E853" s="7">
        <v>135006.77884615381</v>
      </c>
      <c r="F853" s="7">
        <v>114618</v>
      </c>
      <c r="G853" s="8">
        <f>Tabla1[[#This Row],[Ingresos]]-Tabla1[[#This Row],[Gastos]]</f>
        <v>20388.778846153815</v>
      </c>
      <c r="H853" s="13">
        <f>Tabla1[[#This Row],[Beneficio]]/Tabla1[[#This Row],[Ingresos]]</f>
        <v>0.15102040816326512</v>
      </c>
    </row>
    <row r="854" spans="1:8" x14ac:dyDescent="0.35">
      <c r="A854" s="2">
        <v>43654</v>
      </c>
      <c r="B854" t="s">
        <v>8</v>
      </c>
      <c r="C854" t="s">
        <v>12</v>
      </c>
      <c r="D854" t="s">
        <v>17</v>
      </c>
      <c r="E854" s="7">
        <v>369215.23274999997</v>
      </c>
      <c r="F854" s="7">
        <v>301400.19</v>
      </c>
      <c r="G854" s="8">
        <f>Tabla1[[#This Row],[Ingresos]]-Tabla1[[#This Row],[Gastos]]</f>
        <v>67815.042749999964</v>
      </c>
      <c r="H854" s="13">
        <f>Tabla1[[#This Row],[Beneficio]]/Tabla1[[#This Row],[Ingresos]]</f>
        <v>0.18367346938775503</v>
      </c>
    </row>
    <row r="855" spans="1:8" x14ac:dyDescent="0.35">
      <c r="A855" s="2">
        <v>43654</v>
      </c>
      <c r="B855" t="s">
        <v>6</v>
      </c>
      <c r="C855" t="s">
        <v>12</v>
      </c>
      <c r="D855" t="s">
        <v>18</v>
      </c>
      <c r="E855" s="7">
        <v>8651.7899999999991</v>
      </c>
      <c r="F855" s="7">
        <v>6977.25</v>
      </c>
      <c r="G855" s="8">
        <f>Tabla1[[#This Row],[Ingresos]]-Tabla1[[#This Row],[Gastos]]</f>
        <v>1674.5399999999991</v>
      </c>
      <c r="H855" s="13">
        <f>Tabla1[[#This Row],[Beneficio]]/Tabla1[[#This Row],[Ingresos]]</f>
        <v>0.1935483870967741</v>
      </c>
    </row>
    <row r="856" spans="1:8" x14ac:dyDescent="0.35">
      <c r="A856" s="2">
        <v>43655</v>
      </c>
      <c r="B856" t="s">
        <v>6</v>
      </c>
      <c r="C856" t="s">
        <v>10</v>
      </c>
      <c r="D856" t="s">
        <v>16</v>
      </c>
      <c r="E856" s="7">
        <v>76877.163461538454</v>
      </c>
      <c r="F856" s="7">
        <v>65940</v>
      </c>
      <c r="G856" s="8">
        <f>Tabla1[[#This Row],[Ingresos]]-Tabla1[[#This Row],[Gastos]]</f>
        <v>10937.163461538454</v>
      </c>
      <c r="H856" s="13">
        <f>Tabla1[[#This Row],[Beneficio]]/Tabla1[[#This Row],[Ingresos]]</f>
        <v>0.14226804123711331</v>
      </c>
    </row>
    <row r="857" spans="1:8" x14ac:dyDescent="0.35">
      <c r="A857" s="2">
        <v>43655</v>
      </c>
      <c r="B857" t="s">
        <v>6</v>
      </c>
      <c r="C857" t="s">
        <v>43</v>
      </c>
      <c r="D857" t="s">
        <v>17</v>
      </c>
      <c r="E857" s="7">
        <v>18640.16</v>
      </c>
      <c r="F857" s="7">
        <v>10472</v>
      </c>
      <c r="G857" s="8">
        <f>Tabla1[[#This Row],[Ingresos]]-Tabla1[[#This Row],[Gastos]]</f>
        <v>8168.16</v>
      </c>
      <c r="H857" s="13">
        <f>Tabla1[[#This Row],[Beneficio]]/Tabla1[[#This Row],[Ingresos]]</f>
        <v>0.43820224719101125</v>
      </c>
    </row>
    <row r="858" spans="1:8" x14ac:dyDescent="0.35">
      <c r="A858" s="2">
        <v>43655</v>
      </c>
      <c r="B858" t="s">
        <v>9</v>
      </c>
      <c r="C858" t="s">
        <v>10</v>
      </c>
      <c r="D858" t="s">
        <v>19</v>
      </c>
      <c r="E858" s="7">
        <v>30767.1</v>
      </c>
      <c r="F858" s="7">
        <v>28175</v>
      </c>
      <c r="G858" s="8">
        <f>Tabla1[[#This Row],[Ingresos]]-Tabla1[[#This Row],[Gastos]]</f>
        <v>2592.0999999999985</v>
      </c>
      <c r="H858" s="13">
        <f>Tabla1[[#This Row],[Beneficio]]/Tabla1[[#This Row],[Ingresos]]</f>
        <v>8.42490842490842E-2</v>
      </c>
    </row>
    <row r="859" spans="1:8" x14ac:dyDescent="0.35">
      <c r="A859" s="2">
        <v>43656</v>
      </c>
      <c r="B859" t="s">
        <v>7</v>
      </c>
      <c r="C859" t="s">
        <v>43</v>
      </c>
      <c r="D859" t="s">
        <v>15</v>
      </c>
      <c r="E859" s="7">
        <v>12978</v>
      </c>
      <c r="F859" s="7">
        <v>8652</v>
      </c>
      <c r="G859" s="8">
        <f>Tabla1[[#This Row],[Ingresos]]-Tabla1[[#This Row],[Gastos]]</f>
        <v>4326</v>
      </c>
      <c r="H859" s="13">
        <f>Tabla1[[#This Row],[Beneficio]]/Tabla1[[#This Row],[Ingresos]]</f>
        <v>0.33333333333333331</v>
      </c>
    </row>
    <row r="860" spans="1:8" x14ac:dyDescent="0.35">
      <c r="A860" s="2">
        <v>43656</v>
      </c>
      <c r="B860" t="s">
        <v>9</v>
      </c>
      <c r="C860" t="s">
        <v>10</v>
      </c>
      <c r="D860" t="s">
        <v>18</v>
      </c>
      <c r="E860" s="7">
        <v>9066.5190000000002</v>
      </c>
      <c r="F860" s="7">
        <v>7640.3249999999998</v>
      </c>
      <c r="G860" s="8">
        <f>Tabla1[[#This Row],[Ingresos]]-Tabla1[[#This Row],[Gastos]]</f>
        <v>1426.1940000000004</v>
      </c>
      <c r="H860" s="13">
        <f>Tabla1[[#This Row],[Beneficio]]/Tabla1[[#This Row],[Ingresos]]</f>
        <v>0.15730337078651691</v>
      </c>
    </row>
    <row r="861" spans="1:8" x14ac:dyDescent="0.35">
      <c r="A861" s="2">
        <v>43657</v>
      </c>
      <c r="B861" t="s">
        <v>7</v>
      </c>
      <c r="C861" t="s">
        <v>11</v>
      </c>
      <c r="D861" t="s">
        <v>17</v>
      </c>
      <c r="E861" s="7">
        <v>682353.78749999998</v>
      </c>
      <c r="F861" s="7">
        <v>512011.49999999994</v>
      </c>
      <c r="G861" s="8">
        <f>Tabla1[[#This Row],[Ingresos]]-Tabla1[[#This Row],[Gastos]]</f>
        <v>170342.28750000003</v>
      </c>
      <c r="H861" s="13">
        <f>Tabla1[[#This Row],[Beneficio]]/Tabla1[[#This Row],[Ingresos]]</f>
        <v>0.24963924963924969</v>
      </c>
    </row>
    <row r="862" spans="1:8" x14ac:dyDescent="0.35">
      <c r="A862" s="2">
        <v>43659</v>
      </c>
      <c r="B862" t="s">
        <v>5</v>
      </c>
      <c r="C862" t="s">
        <v>43</v>
      </c>
      <c r="D862" t="s">
        <v>15</v>
      </c>
      <c r="E862" s="7">
        <v>27545.918399999999</v>
      </c>
      <c r="F862" s="7">
        <v>20868.12</v>
      </c>
      <c r="G862" s="8">
        <f>Tabla1[[#This Row],[Ingresos]]-Tabla1[[#This Row],[Gastos]]</f>
        <v>6677.7983999999997</v>
      </c>
      <c r="H862" s="13">
        <f>Tabla1[[#This Row],[Beneficio]]/Tabla1[[#This Row],[Ingresos]]</f>
        <v>0.24242424242424243</v>
      </c>
    </row>
    <row r="863" spans="1:8" x14ac:dyDescent="0.35">
      <c r="A863" s="2">
        <v>43659</v>
      </c>
      <c r="B863" t="s">
        <v>5</v>
      </c>
      <c r="C863" t="s">
        <v>43</v>
      </c>
      <c r="D863" t="s">
        <v>17</v>
      </c>
      <c r="E863" s="7">
        <v>4477.8853349999999</v>
      </c>
      <c r="F863" s="7">
        <v>3230.7975000000001</v>
      </c>
      <c r="G863" s="8">
        <f>Tabla1[[#This Row],[Ingresos]]-Tabla1[[#This Row],[Gastos]]</f>
        <v>1247.0878349999998</v>
      </c>
      <c r="H863" s="13">
        <f>Tabla1[[#This Row],[Beneficio]]/Tabla1[[#This Row],[Ingresos]]</f>
        <v>0.27849927849927847</v>
      </c>
    </row>
    <row r="864" spans="1:8" x14ac:dyDescent="0.35">
      <c r="A864" s="2">
        <v>43659</v>
      </c>
      <c r="B864" t="s">
        <v>9</v>
      </c>
      <c r="C864" t="s">
        <v>43</v>
      </c>
      <c r="D864" t="s">
        <v>17</v>
      </c>
      <c r="E864" s="7">
        <v>10129.861875000001</v>
      </c>
      <c r="F864" s="7">
        <v>7616.4374999999991</v>
      </c>
      <c r="G864" s="8">
        <f>Tabla1[[#This Row],[Ingresos]]-Tabla1[[#This Row],[Gastos]]</f>
        <v>2513.4243750000014</v>
      </c>
      <c r="H864" s="13">
        <f>Tabla1[[#This Row],[Beneficio]]/Tabla1[[#This Row],[Ingresos]]</f>
        <v>0.24812030075187982</v>
      </c>
    </row>
    <row r="865" spans="1:8" x14ac:dyDescent="0.35">
      <c r="A865" s="2">
        <v>43660</v>
      </c>
      <c r="B865" t="s">
        <v>7</v>
      </c>
      <c r="C865" t="s">
        <v>12</v>
      </c>
      <c r="D865" t="s">
        <v>15</v>
      </c>
      <c r="E865" s="7">
        <v>10236.24</v>
      </c>
      <c r="F865" s="7">
        <v>7108.5</v>
      </c>
      <c r="G865" s="8">
        <f>Tabla1[[#This Row],[Ingresos]]-Tabla1[[#This Row],[Gastos]]</f>
        <v>3127.74</v>
      </c>
      <c r="H865" s="13">
        <f>Tabla1[[#This Row],[Beneficio]]/Tabla1[[#This Row],[Ingresos]]</f>
        <v>0.30555555555555552</v>
      </c>
    </row>
    <row r="866" spans="1:8" x14ac:dyDescent="0.35">
      <c r="A866" s="2">
        <v>43660</v>
      </c>
      <c r="B866" t="s">
        <v>6</v>
      </c>
      <c r="C866" t="s">
        <v>10</v>
      </c>
      <c r="D866" t="s">
        <v>18</v>
      </c>
      <c r="E866" s="7">
        <v>26320.98</v>
      </c>
      <c r="F866" s="7">
        <v>19740.735000000001</v>
      </c>
      <c r="G866" s="8">
        <f>Tabla1[[#This Row],[Ingresos]]-Tabla1[[#This Row],[Gastos]]</f>
        <v>6580.244999999999</v>
      </c>
      <c r="H866" s="13">
        <f>Tabla1[[#This Row],[Beneficio]]/Tabla1[[#This Row],[Ingresos]]</f>
        <v>0.24999999999999997</v>
      </c>
    </row>
    <row r="867" spans="1:8" x14ac:dyDescent="0.35">
      <c r="A867" s="2">
        <v>43661</v>
      </c>
      <c r="B867" t="s">
        <v>8</v>
      </c>
      <c r="C867" t="s">
        <v>12</v>
      </c>
      <c r="D867" t="s">
        <v>17</v>
      </c>
      <c r="E867" s="7">
        <v>1505.6475</v>
      </c>
      <c r="F867" s="7">
        <v>1265.25</v>
      </c>
      <c r="G867" s="8">
        <f>Tabla1[[#This Row],[Ingresos]]-Tabla1[[#This Row],[Gastos]]</f>
        <v>240.39750000000004</v>
      </c>
      <c r="H867" s="13">
        <f>Tabla1[[#This Row],[Beneficio]]/Tabla1[[#This Row],[Ingresos]]</f>
        <v>0.1596638655462185</v>
      </c>
    </row>
    <row r="868" spans="1:8" x14ac:dyDescent="0.35">
      <c r="A868" s="2">
        <v>43661</v>
      </c>
      <c r="B868" t="s">
        <v>5</v>
      </c>
      <c r="C868" t="s">
        <v>12</v>
      </c>
      <c r="D868" t="s">
        <v>17</v>
      </c>
      <c r="E868" s="7">
        <v>52085.550824999991</v>
      </c>
      <c r="F868" s="7">
        <v>37579.762499999997</v>
      </c>
      <c r="G868" s="8">
        <f>Tabla1[[#This Row],[Ingresos]]-Tabla1[[#This Row],[Gastos]]</f>
        <v>14505.788324999994</v>
      </c>
      <c r="H868" s="13">
        <f>Tabla1[[#This Row],[Beneficio]]/Tabla1[[#This Row],[Ingresos]]</f>
        <v>0.27849927849927841</v>
      </c>
    </row>
    <row r="869" spans="1:8" x14ac:dyDescent="0.35">
      <c r="A869" s="2">
        <v>43663</v>
      </c>
      <c r="B869" t="s">
        <v>7</v>
      </c>
      <c r="C869" t="s">
        <v>13</v>
      </c>
      <c r="D869" t="s">
        <v>17</v>
      </c>
      <c r="E869" s="7">
        <v>6116.6210000000001</v>
      </c>
      <c r="F869" s="7">
        <v>5080.25</v>
      </c>
      <c r="G869" s="8">
        <f>Tabla1[[#This Row],[Ingresos]]-Tabla1[[#This Row],[Gastos]]</f>
        <v>1036.3710000000001</v>
      </c>
      <c r="H869" s="13">
        <f>Tabla1[[#This Row],[Beneficio]]/Tabla1[[#This Row],[Ingresos]]</f>
        <v>0.16943521594684385</v>
      </c>
    </row>
    <row r="870" spans="1:8" x14ac:dyDescent="0.35">
      <c r="A870" s="2">
        <v>43665</v>
      </c>
      <c r="B870" t="s">
        <v>8</v>
      </c>
      <c r="C870" t="s">
        <v>43</v>
      </c>
      <c r="D870" t="s">
        <v>17</v>
      </c>
      <c r="E870" s="7">
        <v>4559.5199999999995</v>
      </c>
      <c r="F870" s="7">
        <v>2478</v>
      </c>
      <c r="G870" s="8">
        <f>Tabla1[[#This Row],[Ingresos]]-Tabla1[[#This Row],[Gastos]]</f>
        <v>2081.5199999999995</v>
      </c>
      <c r="H870" s="13">
        <f>Tabla1[[#This Row],[Beneficio]]/Tabla1[[#This Row],[Ingresos]]</f>
        <v>0.4565217391304347</v>
      </c>
    </row>
    <row r="871" spans="1:8" x14ac:dyDescent="0.35">
      <c r="A871" s="2">
        <v>43667</v>
      </c>
      <c r="B871" t="s">
        <v>6</v>
      </c>
      <c r="C871" t="s">
        <v>13</v>
      </c>
      <c r="D871" t="s">
        <v>16</v>
      </c>
      <c r="E871" s="7">
        <v>142194.23076923075</v>
      </c>
      <c r="F871" s="7">
        <v>91546</v>
      </c>
      <c r="G871" s="8">
        <f>Tabla1[[#This Row],[Ingresos]]-Tabla1[[#This Row],[Gastos]]</f>
        <v>50648.230769230751</v>
      </c>
      <c r="H871" s="13">
        <f>Tabla1[[#This Row],[Beneficio]]/Tabla1[[#This Row],[Ingresos]]</f>
        <v>0.35619047619047611</v>
      </c>
    </row>
    <row r="872" spans="1:8" x14ac:dyDescent="0.35">
      <c r="A872" s="2">
        <v>43667</v>
      </c>
      <c r="B872" t="s">
        <v>9</v>
      </c>
      <c r="C872" t="s">
        <v>10</v>
      </c>
      <c r="D872" t="s">
        <v>16</v>
      </c>
      <c r="E872" s="7">
        <v>1788.3398076923077</v>
      </c>
      <c r="F872" s="7">
        <v>1118.25</v>
      </c>
      <c r="G872" s="8">
        <f>Tabla1[[#This Row],[Ingresos]]-Tabla1[[#This Row],[Gastos]]</f>
        <v>670.08980769230766</v>
      </c>
      <c r="H872" s="13">
        <f>Tabla1[[#This Row],[Beneficio]]/Tabla1[[#This Row],[Ingresos]]</f>
        <v>0.3746993746993747</v>
      </c>
    </row>
    <row r="873" spans="1:8" x14ac:dyDescent="0.35">
      <c r="A873" s="2">
        <v>43667</v>
      </c>
      <c r="B873" t="s">
        <v>7</v>
      </c>
      <c r="C873" t="s">
        <v>11</v>
      </c>
      <c r="D873" t="s">
        <v>16</v>
      </c>
      <c r="E873" s="7">
        <v>169318.55769230769</v>
      </c>
      <c r="F873" s="7">
        <v>110110</v>
      </c>
      <c r="G873" s="8">
        <f>Tabla1[[#This Row],[Ingresos]]-Tabla1[[#This Row],[Gastos]]</f>
        <v>59208.557692307688</v>
      </c>
      <c r="H873" s="13">
        <f>Tabla1[[#This Row],[Beneficio]]/Tabla1[[#This Row],[Ingresos]]</f>
        <v>0.34968734968734966</v>
      </c>
    </row>
    <row r="874" spans="1:8" x14ac:dyDescent="0.35">
      <c r="A874" s="2">
        <v>43668</v>
      </c>
      <c r="B874" t="s">
        <v>9</v>
      </c>
      <c r="C874" t="s">
        <v>13</v>
      </c>
      <c r="D874" t="s">
        <v>17</v>
      </c>
      <c r="E874" s="7">
        <v>3845.0197100000005</v>
      </c>
      <c r="F874" s="7">
        <v>2921.7474999999999</v>
      </c>
      <c r="G874" s="8">
        <f>Tabla1[[#This Row],[Ingresos]]-Tabla1[[#This Row],[Gastos]]</f>
        <v>923.27221000000054</v>
      </c>
      <c r="H874" s="13">
        <f>Tabla1[[#This Row],[Beneficio]]/Tabla1[[#This Row],[Ingresos]]</f>
        <v>0.24012158054711258</v>
      </c>
    </row>
    <row r="875" spans="1:8" x14ac:dyDescent="0.35">
      <c r="A875" s="2">
        <v>43669</v>
      </c>
      <c r="B875" t="s">
        <v>9</v>
      </c>
      <c r="C875" t="s">
        <v>11</v>
      </c>
      <c r="D875" t="s">
        <v>15</v>
      </c>
      <c r="E875" s="7">
        <v>11933.46</v>
      </c>
      <c r="F875" s="7">
        <v>8035.9999999999991</v>
      </c>
      <c r="G875" s="8">
        <f>Tabla1[[#This Row],[Ingresos]]-Tabla1[[#This Row],[Gastos]]</f>
        <v>3897.46</v>
      </c>
      <c r="H875" s="13">
        <f>Tabla1[[#This Row],[Beneficio]]/Tabla1[[#This Row],[Ingresos]]</f>
        <v>0.32659932659932661</v>
      </c>
    </row>
    <row r="876" spans="1:8" x14ac:dyDescent="0.35">
      <c r="A876" s="2">
        <v>43669</v>
      </c>
      <c r="B876" t="s">
        <v>6</v>
      </c>
      <c r="C876" t="s">
        <v>12</v>
      </c>
      <c r="D876" t="s">
        <v>19</v>
      </c>
      <c r="E876" s="7">
        <v>254067.44999999998</v>
      </c>
      <c r="F876" s="7">
        <v>232662.49999999997</v>
      </c>
      <c r="G876" s="8">
        <f>Tabla1[[#This Row],[Ingresos]]-Tabla1[[#This Row],[Gastos]]</f>
        <v>21404.950000000012</v>
      </c>
      <c r="H876" s="13">
        <f>Tabla1[[#This Row],[Beneficio]]/Tabla1[[#This Row],[Ingresos]]</f>
        <v>8.4249084249084297E-2</v>
      </c>
    </row>
    <row r="877" spans="1:8" x14ac:dyDescent="0.35">
      <c r="A877" s="2">
        <v>43669</v>
      </c>
      <c r="B877" t="s">
        <v>7</v>
      </c>
      <c r="C877" t="s">
        <v>12</v>
      </c>
      <c r="D877" t="s">
        <v>18</v>
      </c>
      <c r="E877" s="7">
        <v>7525.9245600000004</v>
      </c>
      <c r="F877" s="7">
        <v>6487.866</v>
      </c>
      <c r="G877" s="8">
        <f>Tabla1[[#This Row],[Ingresos]]-Tabla1[[#This Row],[Gastos]]</f>
        <v>1038.0585600000004</v>
      </c>
      <c r="H877" s="13">
        <f>Tabla1[[#This Row],[Beneficio]]/Tabla1[[#This Row],[Ingresos]]</f>
        <v>0.13793103448275867</v>
      </c>
    </row>
    <row r="878" spans="1:8" x14ac:dyDescent="0.35">
      <c r="A878" s="2">
        <v>43670</v>
      </c>
      <c r="B878" t="s">
        <v>6</v>
      </c>
      <c r="C878" t="s">
        <v>10</v>
      </c>
      <c r="D878" t="s">
        <v>17</v>
      </c>
      <c r="E878" s="7">
        <v>4153.8</v>
      </c>
      <c r="F878" s="7">
        <v>2257.5</v>
      </c>
      <c r="G878" s="8">
        <f>Tabla1[[#This Row],[Ingresos]]-Tabla1[[#This Row],[Gastos]]</f>
        <v>1896.3000000000002</v>
      </c>
      <c r="H878" s="13">
        <f>Tabla1[[#This Row],[Beneficio]]/Tabla1[[#This Row],[Ingresos]]</f>
        <v>0.45652173913043481</v>
      </c>
    </row>
    <row r="879" spans="1:8" x14ac:dyDescent="0.35">
      <c r="A879" s="2">
        <v>43671</v>
      </c>
      <c r="B879" t="s">
        <v>5</v>
      </c>
      <c r="C879" t="s">
        <v>12</v>
      </c>
      <c r="D879" t="s">
        <v>17</v>
      </c>
      <c r="E879" s="7">
        <v>104709.9375</v>
      </c>
      <c r="F879" s="7">
        <v>89407.5</v>
      </c>
      <c r="G879" s="8">
        <f>Tabla1[[#This Row],[Ingresos]]-Tabla1[[#This Row],[Gastos]]</f>
        <v>15302.4375</v>
      </c>
      <c r="H879" s="13">
        <f>Tabla1[[#This Row],[Beneficio]]/Tabla1[[#This Row],[Ingresos]]</f>
        <v>0.14614121510673234</v>
      </c>
    </row>
    <row r="880" spans="1:8" x14ac:dyDescent="0.35">
      <c r="A880" s="2">
        <v>43671</v>
      </c>
      <c r="B880" t="s">
        <v>8</v>
      </c>
      <c r="C880" t="s">
        <v>12</v>
      </c>
      <c r="D880" t="s">
        <v>17</v>
      </c>
      <c r="E880" s="7">
        <v>73745</v>
      </c>
      <c r="F880" s="7">
        <v>63699.999999999993</v>
      </c>
      <c r="G880" s="8">
        <f>Tabla1[[#This Row],[Ingresos]]-Tabla1[[#This Row],[Gastos]]</f>
        <v>10045.000000000007</v>
      </c>
      <c r="H880" s="13">
        <f>Tabla1[[#This Row],[Beneficio]]/Tabla1[[#This Row],[Ingresos]]</f>
        <v>0.1362126245847177</v>
      </c>
    </row>
    <row r="881" spans="1:8" x14ac:dyDescent="0.35">
      <c r="A881" s="2">
        <v>43671</v>
      </c>
      <c r="B881" t="s">
        <v>5</v>
      </c>
      <c r="C881" t="s">
        <v>13</v>
      </c>
      <c r="D881" t="s">
        <v>17</v>
      </c>
      <c r="E881" s="7">
        <v>303019.36874999997</v>
      </c>
      <c r="F881" s="7">
        <v>264823.64999999997</v>
      </c>
      <c r="G881" s="8">
        <f>Tabla1[[#This Row],[Ingresos]]-Tabla1[[#This Row],[Gastos]]</f>
        <v>38195.71875</v>
      </c>
      <c r="H881" s="13">
        <f>Tabla1[[#This Row],[Beneficio]]/Tabla1[[#This Row],[Ingresos]]</f>
        <v>0.12605042016806725</v>
      </c>
    </row>
    <row r="882" spans="1:8" x14ac:dyDescent="0.35">
      <c r="A882" s="2">
        <v>43672</v>
      </c>
      <c r="B882" t="s">
        <v>5</v>
      </c>
      <c r="C882" t="s">
        <v>12</v>
      </c>
      <c r="D882" t="s">
        <v>18</v>
      </c>
      <c r="E882" s="7">
        <v>17291.930040000003</v>
      </c>
      <c r="F882" s="7">
        <v>13370.048999999999</v>
      </c>
      <c r="G882" s="8">
        <f>Tabla1[[#This Row],[Ingresos]]-Tabla1[[#This Row],[Gastos]]</f>
        <v>3921.8810400000038</v>
      </c>
      <c r="H882" s="13">
        <f>Tabla1[[#This Row],[Beneficio]]/Tabla1[[#This Row],[Ingresos]]</f>
        <v>0.2268041237113404</v>
      </c>
    </row>
    <row r="883" spans="1:8" x14ac:dyDescent="0.35">
      <c r="A883" s="2">
        <v>43673</v>
      </c>
      <c r="B883" t="s">
        <v>5</v>
      </c>
      <c r="C883" t="s">
        <v>12</v>
      </c>
      <c r="D883" t="s">
        <v>17</v>
      </c>
      <c r="E883" s="7">
        <v>938430.36</v>
      </c>
      <c r="F883" s="7">
        <v>774577.44</v>
      </c>
      <c r="G883" s="8">
        <f>Tabla1[[#This Row],[Ingresos]]-Tabla1[[#This Row],[Gastos]]</f>
        <v>163852.92000000004</v>
      </c>
      <c r="H883" s="13">
        <f>Tabla1[[#This Row],[Beneficio]]/Tabla1[[#This Row],[Ingresos]]</f>
        <v>0.17460317460317465</v>
      </c>
    </row>
    <row r="884" spans="1:8" x14ac:dyDescent="0.35">
      <c r="A884" s="2">
        <v>43673</v>
      </c>
      <c r="B884" t="s">
        <v>8</v>
      </c>
      <c r="C884" t="s">
        <v>10</v>
      </c>
      <c r="D884" t="s">
        <v>19</v>
      </c>
      <c r="E884" s="7">
        <v>564224.93400000001</v>
      </c>
      <c r="F884" s="7">
        <v>528300.5</v>
      </c>
      <c r="G884" s="8">
        <f>Tabla1[[#This Row],[Ingresos]]-Tabla1[[#This Row],[Gastos]]</f>
        <v>35924.434000000008</v>
      </c>
      <c r="H884" s="13">
        <f>Tabla1[[#This Row],[Beneficio]]/Tabla1[[#This Row],[Ingresos]]</f>
        <v>6.3670411985018743E-2</v>
      </c>
    </row>
    <row r="885" spans="1:8" x14ac:dyDescent="0.35">
      <c r="A885" s="2">
        <v>43674</v>
      </c>
      <c r="B885" t="s">
        <v>5</v>
      </c>
      <c r="C885" t="s">
        <v>13</v>
      </c>
      <c r="D885" t="s">
        <v>18</v>
      </c>
      <c r="E885" s="7">
        <v>13061.663999999999</v>
      </c>
      <c r="F885" s="7">
        <v>9796.2479999999996</v>
      </c>
      <c r="G885" s="8">
        <f>Tabla1[[#This Row],[Ingresos]]-Tabla1[[#This Row],[Gastos]]</f>
        <v>3265.4159999999993</v>
      </c>
      <c r="H885" s="13">
        <f>Tabla1[[#This Row],[Beneficio]]/Tabla1[[#This Row],[Ingresos]]</f>
        <v>0.24999999999999997</v>
      </c>
    </row>
    <row r="886" spans="1:8" x14ac:dyDescent="0.35">
      <c r="A886" s="2">
        <v>43675</v>
      </c>
      <c r="B886" t="s">
        <v>5</v>
      </c>
      <c r="C886" t="s">
        <v>10</v>
      </c>
      <c r="D886" t="s">
        <v>17</v>
      </c>
      <c r="E886" s="7">
        <v>6552.3780000000006</v>
      </c>
      <c r="F886" s="7">
        <v>5087.25</v>
      </c>
      <c r="G886" s="8">
        <f>Tabla1[[#This Row],[Ingresos]]-Tabla1[[#This Row],[Gastos]]</f>
        <v>1465.1280000000006</v>
      </c>
      <c r="H886" s="13">
        <f>Tabla1[[#This Row],[Beneficio]]/Tabla1[[#This Row],[Ingresos]]</f>
        <v>0.22360248447204975</v>
      </c>
    </row>
    <row r="887" spans="1:8" x14ac:dyDescent="0.35">
      <c r="A887" s="2">
        <v>43677</v>
      </c>
      <c r="B887" t="s">
        <v>7</v>
      </c>
      <c r="C887" t="s">
        <v>11</v>
      </c>
      <c r="D887" t="s">
        <v>15</v>
      </c>
      <c r="E887" s="7">
        <v>39709.61505</v>
      </c>
      <c r="F887" s="7">
        <v>29745.03</v>
      </c>
      <c r="G887" s="8">
        <f>Tabla1[[#This Row],[Ingresos]]-Tabla1[[#This Row],[Gastos]]</f>
        <v>9964.5850500000015</v>
      </c>
      <c r="H887" s="13">
        <f>Tabla1[[#This Row],[Beneficio]]/Tabla1[[#This Row],[Ingresos]]</f>
        <v>0.25093632958801504</v>
      </c>
    </row>
    <row r="888" spans="1:8" x14ac:dyDescent="0.35">
      <c r="A888" s="2">
        <v>43677</v>
      </c>
      <c r="B888" t="s">
        <v>8</v>
      </c>
      <c r="C888" t="s">
        <v>13</v>
      </c>
      <c r="D888" t="s">
        <v>18</v>
      </c>
      <c r="E888" s="7">
        <v>9076.4519999999993</v>
      </c>
      <c r="F888" s="7">
        <v>7241.8499999999995</v>
      </c>
      <c r="G888" s="8">
        <f>Tabla1[[#This Row],[Ingresos]]-Tabla1[[#This Row],[Gastos]]</f>
        <v>1834.6019999999999</v>
      </c>
      <c r="H888" s="13">
        <f>Tabla1[[#This Row],[Beneficio]]/Tabla1[[#This Row],[Ingresos]]</f>
        <v>0.20212765957446807</v>
      </c>
    </row>
    <row r="889" spans="1:8" x14ac:dyDescent="0.35">
      <c r="A889" s="2">
        <v>43678</v>
      </c>
      <c r="B889" t="s">
        <v>9</v>
      </c>
      <c r="C889" t="s">
        <v>11</v>
      </c>
      <c r="D889" t="s">
        <v>15</v>
      </c>
      <c r="E889" s="7">
        <v>5861.9924999999994</v>
      </c>
      <c r="F889" s="7">
        <v>4294.5</v>
      </c>
      <c r="G889" s="8">
        <f>Tabla1[[#This Row],[Ingresos]]-Tabla1[[#This Row],[Gastos]]</f>
        <v>1567.4924999999994</v>
      </c>
      <c r="H889" s="13">
        <f>Tabla1[[#This Row],[Beneficio]]/Tabla1[[#This Row],[Ingresos]]</f>
        <v>0.26739926739926734</v>
      </c>
    </row>
    <row r="890" spans="1:8" x14ac:dyDescent="0.35">
      <c r="A890" s="2">
        <v>43680</v>
      </c>
      <c r="B890" t="s">
        <v>8</v>
      </c>
      <c r="C890" t="s">
        <v>43</v>
      </c>
      <c r="D890" t="s">
        <v>19</v>
      </c>
      <c r="E890" s="7">
        <v>1069927.74</v>
      </c>
      <c r="F890" s="7">
        <v>948517.49999999988</v>
      </c>
      <c r="G890" s="8">
        <f>Tabla1[[#This Row],[Ingresos]]-Tabla1[[#This Row],[Gastos]]</f>
        <v>121410.24000000011</v>
      </c>
      <c r="H890" s="13">
        <f>Tabla1[[#This Row],[Beneficio]]/Tabla1[[#This Row],[Ingresos]]</f>
        <v>0.11347517730496463</v>
      </c>
    </row>
    <row r="891" spans="1:8" x14ac:dyDescent="0.35">
      <c r="A891" s="2">
        <v>43681</v>
      </c>
      <c r="B891" t="s">
        <v>8</v>
      </c>
      <c r="C891" t="s">
        <v>43</v>
      </c>
      <c r="D891" t="s">
        <v>15</v>
      </c>
      <c r="E891" s="7">
        <v>7289.0999999999995</v>
      </c>
      <c r="F891" s="7">
        <v>5460</v>
      </c>
      <c r="G891" s="8">
        <f>Tabla1[[#This Row],[Ingresos]]-Tabla1[[#This Row],[Gastos]]</f>
        <v>1829.0999999999995</v>
      </c>
      <c r="H891" s="13">
        <f>Tabla1[[#This Row],[Beneficio]]/Tabla1[[#This Row],[Ingresos]]</f>
        <v>0.25093632958801493</v>
      </c>
    </row>
    <row r="892" spans="1:8" x14ac:dyDescent="0.35">
      <c r="A892" s="2">
        <v>43681</v>
      </c>
      <c r="B892" t="s">
        <v>8</v>
      </c>
      <c r="C892" t="s">
        <v>43</v>
      </c>
      <c r="D892" t="s">
        <v>17</v>
      </c>
      <c r="E892" s="7">
        <v>62492.257799999985</v>
      </c>
      <c r="F892" s="7">
        <v>35108.01</v>
      </c>
      <c r="G892" s="8">
        <f>Tabla1[[#This Row],[Ingresos]]-Tabla1[[#This Row],[Gastos]]</f>
        <v>27384.247799999983</v>
      </c>
      <c r="H892" s="13">
        <f>Tabla1[[#This Row],[Beneficio]]/Tabla1[[#This Row],[Ingresos]]</f>
        <v>0.43820224719101109</v>
      </c>
    </row>
    <row r="893" spans="1:8" x14ac:dyDescent="0.35">
      <c r="A893" s="2">
        <v>43681</v>
      </c>
      <c r="B893" t="s">
        <v>9</v>
      </c>
      <c r="C893" t="s">
        <v>13</v>
      </c>
      <c r="D893" t="s">
        <v>17</v>
      </c>
      <c r="E893" s="7">
        <v>1327.30465</v>
      </c>
      <c r="F893" s="7">
        <v>1102.4124999999999</v>
      </c>
      <c r="G893" s="8">
        <f>Tabla1[[#This Row],[Ingresos]]-Tabla1[[#This Row],[Gastos]]</f>
        <v>224.89215000000013</v>
      </c>
      <c r="H893" s="13">
        <f>Tabla1[[#This Row],[Beneficio]]/Tabla1[[#This Row],[Ingresos]]</f>
        <v>0.16943521594684394</v>
      </c>
    </row>
    <row r="894" spans="1:8" x14ac:dyDescent="0.35">
      <c r="A894" s="2">
        <v>43681</v>
      </c>
      <c r="B894" t="s">
        <v>6</v>
      </c>
      <c r="C894" t="s">
        <v>13</v>
      </c>
      <c r="D894" t="s">
        <v>19</v>
      </c>
      <c r="E894" s="7">
        <v>142581.59999999998</v>
      </c>
      <c r="F894" s="7">
        <v>123768.74999999999</v>
      </c>
      <c r="G894" s="8">
        <f>Tabla1[[#This Row],[Ingresos]]-Tabla1[[#This Row],[Gastos]]</f>
        <v>18812.849999999991</v>
      </c>
      <c r="H894" s="13">
        <f>Tabla1[[#This Row],[Beneficio]]/Tabla1[[#This Row],[Ingresos]]</f>
        <v>0.13194444444444439</v>
      </c>
    </row>
    <row r="895" spans="1:8" x14ac:dyDescent="0.35">
      <c r="A895" s="2">
        <v>43681</v>
      </c>
      <c r="B895" t="s">
        <v>5</v>
      </c>
      <c r="C895" t="s">
        <v>12</v>
      </c>
      <c r="D895" t="s">
        <v>19</v>
      </c>
      <c r="E895" s="7">
        <v>92115.029999999984</v>
      </c>
      <c r="F895" s="7">
        <v>89258.75</v>
      </c>
      <c r="G895" s="8">
        <f>Tabla1[[#This Row],[Ingresos]]-Tabla1[[#This Row],[Gastos]]</f>
        <v>2856.2799999999843</v>
      </c>
      <c r="H895" s="13">
        <f>Tabla1[[#This Row],[Beneficio]]/Tabla1[[#This Row],[Ingresos]]</f>
        <v>3.1007751937984329E-2</v>
      </c>
    </row>
    <row r="896" spans="1:8" x14ac:dyDescent="0.35">
      <c r="A896" s="2">
        <v>43682</v>
      </c>
      <c r="B896" t="s">
        <v>5</v>
      </c>
      <c r="C896" t="s">
        <v>11</v>
      </c>
      <c r="D896" t="s">
        <v>17</v>
      </c>
      <c r="E896" s="7">
        <v>12111.3428625</v>
      </c>
      <c r="F896" s="7">
        <v>9943.6312499999985</v>
      </c>
      <c r="G896" s="8">
        <f>Tabla1[[#This Row],[Ingresos]]-Tabla1[[#This Row],[Gastos]]</f>
        <v>2167.7116125000011</v>
      </c>
      <c r="H896" s="13">
        <f>Tabla1[[#This Row],[Beneficio]]/Tabla1[[#This Row],[Ingresos]]</f>
        <v>0.17898193760262734</v>
      </c>
    </row>
    <row r="897" spans="1:8" x14ac:dyDescent="0.35">
      <c r="A897" s="2">
        <v>43683</v>
      </c>
      <c r="B897" t="s">
        <v>9</v>
      </c>
      <c r="C897" t="s">
        <v>13</v>
      </c>
      <c r="D897" t="s">
        <v>17</v>
      </c>
      <c r="E897" s="7">
        <v>1292.816</v>
      </c>
      <c r="F897" s="7">
        <v>951.99999999999989</v>
      </c>
      <c r="G897" s="8">
        <f>Tabla1[[#This Row],[Ingresos]]-Tabla1[[#This Row],[Gastos]]</f>
        <v>340.81600000000014</v>
      </c>
      <c r="H897" s="13">
        <f>Tabla1[[#This Row],[Beneficio]]/Tabla1[[#This Row],[Ingresos]]</f>
        <v>0.26362297496318127</v>
      </c>
    </row>
    <row r="898" spans="1:8" x14ac:dyDescent="0.35">
      <c r="A898" s="2">
        <v>43683</v>
      </c>
      <c r="B898" t="s">
        <v>6</v>
      </c>
      <c r="C898" t="s">
        <v>12</v>
      </c>
      <c r="D898" t="s">
        <v>17</v>
      </c>
      <c r="E898" s="7">
        <v>32818.522799999992</v>
      </c>
      <c r="F898" s="7">
        <v>18861.22</v>
      </c>
      <c r="G898" s="8">
        <f>Tabla1[[#This Row],[Ingresos]]-Tabla1[[#This Row],[Gastos]]</f>
        <v>13957.30279999999</v>
      </c>
      <c r="H898" s="13">
        <f>Tabla1[[#This Row],[Beneficio]]/Tabla1[[#This Row],[Ingresos]]</f>
        <v>0.42528735632183889</v>
      </c>
    </row>
    <row r="899" spans="1:8" x14ac:dyDescent="0.35">
      <c r="A899" s="2">
        <v>43684</v>
      </c>
      <c r="B899" t="s">
        <v>8</v>
      </c>
      <c r="C899" t="s">
        <v>43</v>
      </c>
      <c r="D899" t="s">
        <v>18</v>
      </c>
      <c r="E899" s="7">
        <v>2033.3913599999998</v>
      </c>
      <c r="F899" s="7">
        <v>1657.6559999999999</v>
      </c>
      <c r="G899" s="8">
        <f>Tabla1[[#This Row],[Ingresos]]-Tabla1[[#This Row],[Gastos]]</f>
        <v>375.7353599999999</v>
      </c>
      <c r="H899" s="13">
        <f>Tabla1[[#This Row],[Beneficio]]/Tabla1[[#This Row],[Ingresos]]</f>
        <v>0.18478260869565213</v>
      </c>
    </row>
    <row r="900" spans="1:8" x14ac:dyDescent="0.35">
      <c r="A900" s="2">
        <v>43684</v>
      </c>
      <c r="B900" t="s">
        <v>9</v>
      </c>
      <c r="C900" t="s">
        <v>11</v>
      </c>
      <c r="D900" t="s">
        <v>18</v>
      </c>
      <c r="E900" s="7">
        <v>3716.8429199999996</v>
      </c>
      <c r="F900" s="7">
        <v>3132.1709999999998</v>
      </c>
      <c r="G900" s="8">
        <f>Tabla1[[#This Row],[Ingresos]]-Tabla1[[#This Row],[Gastos]]</f>
        <v>584.67191999999977</v>
      </c>
      <c r="H900" s="13">
        <f>Tabla1[[#This Row],[Beneficio]]/Tabla1[[#This Row],[Ingresos]]</f>
        <v>0.15730337078651682</v>
      </c>
    </row>
    <row r="901" spans="1:8" x14ac:dyDescent="0.35">
      <c r="A901" s="2">
        <v>43685</v>
      </c>
      <c r="B901" t="s">
        <v>7</v>
      </c>
      <c r="C901" t="s">
        <v>43</v>
      </c>
      <c r="D901" t="s">
        <v>16</v>
      </c>
      <c r="E901" s="7">
        <v>40287.1875</v>
      </c>
      <c r="F901" s="7">
        <v>36834</v>
      </c>
      <c r="G901" s="8">
        <f>Tabla1[[#This Row],[Ingresos]]-Tabla1[[#This Row],[Gastos]]</f>
        <v>3453.1875</v>
      </c>
      <c r="H901" s="13">
        <f>Tabla1[[#This Row],[Beneficio]]/Tabla1[[#This Row],[Ingresos]]</f>
        <v>8.5714285714285715E-2</v>
      </c>
    </row>
    <row r="902" spans="1:8" x14ac:dyDescent="0.35">
      <c r="A902" s="2">
        <v>43685</v>
      </c>
      <c r="B902" t="s">
        <v>7</v>
      </c>
      <c r="C902" t="s">
        <v>10</v>
      </c>
      <c r="D902" t="s">
        <v>17</v>
      </c>
      <c r="E902" s="7">
        <v>269435.07500000001</v>
      </c>
      <c r="F902" s="7">
        <v>219947</v>
      </c>
      <c r="G902" s="8">
        <f>Tabla1[[#This Row],[Ingresos]]-Tabla1[[#This Row],[Gastos]]</f>
        <v>49488.075000000012</v>
      </c>
      <c r="H902" s="13">
        <f>Tabla1[[#This Row],[Beneficio]]/Tabla1[[#This Row],[Ingresos]]</f>
        <v>0.18367346938775514</v>
      </c>
    </row>
    <row r="903" spans="1:8" x14ac:dyDescent="0.35">
      <c r="A903" s="2">
        <v>43686</v>
      </c>
      <c r="B903" t="s">
        <v>7</v>
      </c>
      <c r="C903" t="s">
        <v>13</v>
      </c>
      <c r="D903" t="s">
        <v>15</v>
      </c>
      <c r="E903" s="7">
        <v>3060.4874999999997</v>
      </c>
      <c r="F903" s="7">
        <v>2292.5</v>
      </c>
      <c r="G903" s="8">
        <f>Tabla1[[#This Row],[Ingresos]]-Tabla1[[#This Row],[Gastos]]</f>
        <v>767.98749999999973</v>
      </c>
      <c r="H903" s="13">
        <f>Tabla1[[#This Row],[Beneficio]]/Tabla1[[#This Row],[Ingresos]]</f>
        <v>0.25093632958801493</v>
      </c>
    </row>
    <row r="904" spans="1:8" x14ac:dyDescent="0.35">
      <c r="A904" s="2">
        <v>43686</v>
      </c>
      <c r="B904" t="s">
        <v>6</v>
      </c>
      <c r="C904" t="s">
        <v>43</v>
      </c>
      <c r="D904" t="s">
        <v>16</v>
      </c>
      <c r="E904" s="7">
        <v>117367.78846153844</v>
      </c>
      <c r="F904" s="7">
        <v>105000</v>
      </c>
      <c r="G904" s="8">
        <f>Tabla1[[#This Row],[Ingresos]]-Tabla1[[#This Row],[Gastos]]</f>
        <v>12367.788461538439</v>
      </c>
      <c r="H904" s="13">
        <f>Tabla1[[#This Row],[Beneficio]]/Tabla1[[#This Row],[Ingresos]]</f>
        <v>0.10537634408602134</v>
      </c>
    </row>
    <row r="905" spans="1:8" x14ac:dyDescent="0.35">
      <c r="A905" s="2">
        <v>43686</v>
      </c>
      <c r="B905" t="s">
        <v>8</v>
      </c>
      <c r="C905" t="s">
        <v>11</v>
      </c>
      <c r="D905" t="s">
        <v>17</v>
      </c>
      <c r="E905" s="7">
        <v>3591.7244999999998</v>
      </c>
      <c r="F905" s="7">
        <v>2819.25</v>
      </c>
      <c r="G905" s="8">
        <f>Tabla1[[#This Row],[Ingresos]]-Tabla1[[#This Row],[Gastos]]</f>
        <v>772.47449999999981</v>
      </c>
      <c r="H905" s="13">
        <f>Tabla1[[#This Row],[Beneficio]]/Tabla1[[#This Row],[Ingresos]]</f>
        <v>0.21507064364207218</v>
      </c>
    </row>
    <row r="906" spans="1:8" x14ac:dyDescent="0.35">
      <c r="A906" s="2">
        <v>43686</v>
      </c>
      <c r="B906" t="s">
        <v>5</v>
      </c>
      <c r="C906" t="s">
        <v>11</v>
      </c>
      <c r="D906" t="s">
        <v>18</v>
      </c>
      <c r="E906" s="7">
        <v>8507.8543200000004</v>
      </c>
      <c r="F906" s="7">
        <v>6511.1129999999994</v>
      </c>
      <c r="G906" s="8">
        <f>Tabla1[[#This Row],[Ingresos]]-Tabla1[[#This Row],[Gastos]]</f>
        <v>1996.741320000001</v>
      </c>
      <c r="H906" s="13">
        <f>Tabla1[[#This Row],[Beneficio]]/Tabla1[[#This Row],[Ingresos]]</f>
        <v>0.2346938775510205</v>
      </c>
    </row>
    <row r="907" spans="1:8" x14ac:dyDescent="0.35">
      <c r="A907" s="2">
        <v>43687</v>
      </c>
      <c r="B907" t="s">
        <v>8</v>
      </c>
      <c r="C907" t="s">
        <v>43</v>
      </c>
      <c r="D907" t="s">
        <v>17</v>
      </c>
      <c r="E907" s="7">
        <v>246515.47200000001</v>
      </c>
      <c r="F907" s="7">
        <v>186863.04</v>
      </c>
      <c r="G907" s="8">
        <f>Tabla1[[#This Row],[Ingresos]]-Tabla1[[#This Row],[Gastos]]</f>
        <v>59652.432000000001</v>
      </c>
      <c r="H907" s="13">
        <f>Tabla1[[#This Row],[Beneficio]]/Tabla1[[#This Row],[Ingresos]]</f>
        <v>0.24198250728862974</v>
      </c>
    </row>
    <row r="908" spans="1:8" x14ac:dyDescent="0.35">
      <c r="A908" s="2">
        <v>43687</v>
      </c>
      <c r="B908" t="s">
        <v>8</v>
      </c>
      <c r="C908" t="s">
        <v>13</v>
      </c>
      <c r="D908" t="s">
        <v>17</v>
      </c>
      <c r="E908" s="7">
        <v>313634.39799999999</v>
      </c>
      <c r="F908" s="7">
        <v>264756.31</v>
      </c>
      <c r="G908" s="8">
        <f>Tabla1[[#This Row],[Ingresos]]-Tabla1[[#This Row],[Gastos]]</f>
        <v>48878.087999999989</v>
      </c>
      <c r="H908" s="13">
        <f>Tabla1[[#This Row],[Beneficio]]/Tabla1[[#This Row],[Ingresos]]</f>
        <v>0.15584415584415581</v>
      </c>
    </row>
    <row r="909" spans="1:8" x14ac:dyDescent="0.35">
      <c r="A909" s="2">
        <v>43688</v>
      </c>
      <c r="B909" t="s">
        <v>7</v>
      </c>
      <c r="C909" t="s">
        <v>13</v>
      </c>
      <c r="D909" t="s">
        <v>17</v>
      </c>
      <c r="E909" s="7">
        <v>169421.17499999999</v>
      </c>
      <c r="F909" s="7">
        <v>127126.99999999999</v>
      </c>
      <c r="G909" s="8">
        <f>Tabla1[[#This Row],[Ingresos]]-Tabla1[[#This Row],[Gastos]]</f>
        <v>42294.175000000003</v>
      </c>
      <c r="H909" s="13">
        <f>Tabla1[[#This Row],[Beneficio]]/Tabla1[[#This Row],[Ingresos]]</f>
        <v>0.24963924963924966</v>
      </c>
    </row>
    <row r="910" spans="1:8" x14ac:dyDescent="0.35">
      <c r="A910" s="2">
        <v>43689</v>
      </c>
      <c r="B910" t="s">
        <v>9</v>
      </c>
      <c r="C910" t="s">
        <v>43</v>
      </c>
      <c r="D910" t="s">
        <v>17</v>
      </c>
      <c r="E910" s="7">
        <v>8664.9499999999989</v>
      </c>
      <c r="F910" s="7">
        <v>4560.5</v>
      </c>
      <c r="G910" s="8">
        <f>Tabla1[[#This Row],[Ingresos]]-Tabla1[[#This Row],[Gastos]]</f>
        <v>4104.4499999999989</v>
      </c>
      <c r="H910" s="13">
        <f>Tabla1[[#This Row],[Beneficio]]/Tabla1[[#This Row],[Ingresos]]</f>
        <v>0.47368421052631571</v>
      </c>
    </row>
    <row r="911" spans="1:8" x14ac:dyDescent="0.35">
      <c r="A911" s="2">
        <v>43689</v>
      </c>
      <c r="B911" t="s">
        <v>7</v>
      </c>
      <c r="C911" t="s">
        <v>12</v>
      </c>
      <c r="D911" t="s">
        <v>18</v>
      </c>
      <c r="E911" s="7">
        <v>7805.7839999999997</v>
      </c>
      <c r="F911" s="7">
        <v>6035.4</v>
      </c>
      <c r="G911" s="8">
        <f>Tabla1[[#This Row],[Ingresos]]-Tabla1[[#This Row],[Gastos]]</f>
        <v>1770.384</v>
      </c>
      <c r="H911" s="13">
        <f>Tabla1[[#This Row],[Beneficio]]/Tabla1[[#This Row],[Ingresos]]</f>
        <v>0.22680412371134021</v>
      </c>
    </row>
    <row r="912" spans="1:8" x14ac:dyDescent="0.35">
      <c r="A912" s="2">
        <v>43691</v>
      </c>
      <c r="B912" t="s">
        <v>8</v>
      </c>
      <c r="C912" t="s">
        <v>43</v>
      </c>
      <c r="D912" t="s">
        <v>18</v>
      </c>
      <c r="E912" s="7">
        <v>15049.187999999998</v>
      </c>
      <c r="F912" s="7">
        <v>12681.9</v>
      </c>
      <c r="G912" s="8">
        <f>Tabla1[[#This Row],[Ingresos]]-Tabla1[[#This Row],[Gastos]]</f>
        <v>2367.2879999999986</v>
      </c>
      <c r="H912" s="13">
        <f>Tabla1[[#This Row],[Beneficio]]/Tabla1[[#This Row],[Ingresos]]</f>
        <v>0.15730337078651679</v>
      </c>
    </row>
    <row r="913" spans="1:8" x14ac:dyDescent="0.35">
      <c r="A913" s="2">
        <v>43695</v>
      </c>
      <c r="B913" t="s">
        <v>5</v>
      </c>
      <c r="C913" t="s">
        <v>10</v>
      </c>
      <c r="D913" t="s">
        <v>16</v>
      </c>
      <c r="E913" s="7">
        <v>130730.04807692306</v>
      </c>
      <c r="F913" s="7">
        <v>115709.99999999999</v>
      </c>
      <c r="G913" s="8">
        <f>Tabla1[[#This Row],[Ingresos]]-Tabla1[[#This Row],[Gastos]]</f>
        <v>15020.048076923078</v>
      </c>
      <c r="H913" s="13">
        <f>Tabla1[[#This Row],[Beneficio]]/Tabla1[[#This Row],[Ingresos]]</f>
        <v>0.11489361702127662</v>
      </c>
    </row>
    <row r="914" spans="1:8" x14ac:dyDescent="0.35">
      <c r="A914" s="2">
        <v>43696</v>
      </c>
      <c r="B914" t="s">
        <v>9</v>
      </c>
      <c r="C914" t="s">
        <v>10</v>
      </c>
      <c r="D914" t="s">
        <v>16</v>
      </c>
      <c r="E914" s="7">
        <v>46458.5625</v>
      </c>
      <c r="F914" s="7">
        <v>42948.36</v>
      </c>
      <c r="G914" s="8">
        <f>Tabla1[[#This Row],[Ingresos]]-Tabla1[[#This Row],[Gastos]]</f>
        <v>3510.2024999999994</v>
      </c>
      <c r="H914" s="13">
        <f>Tabla1[[#This Row],[Beneficio]]/Tabla1[[#This Row],[Ingresos]]</f>
        <v>7.5555555555555542E-2</v>
      </c>
    </row>
    <row r="915" spans="1:8" x14ac:dyDescent="0.35">
      <c r="A915" s="2">
        <v>43697</v>
      </c>
      <c r="B915" t="s">
        <v>5</v>
      </c>
      <c r="C915" t="s">
        <v>43</v>
      </c>
      <c r="D915" t="s">
        <v>15</v>
      </c>
      <c r="E915" s="7">
        <v>15106.984200000001</v>
      </c>
      <c r="F915" s="7">
        <v>11444.684999999999</v>
      </c>
      <c r="G915" s="8">
        <f>Tabla1[[#This Row],[Ingresos]]-Tabla1[[#This Row],[Gastos]]</f>
        <v>3662.2992000000013</v>
      </c>
      <c r="H915" s="13">
        <f>Tabla1[[#This Row],[Beneficio]]/Tabla1[[#This Row],[Ingresos]]</f>
        <v>0.24242424242424249</v>
      </c>
    </row>
    <row r="916" spans="1:8" x14ac:dyDescent="0.35">
      <c r="A916" s="2">
        <v>43698</v>
      </c>
      <c r="B916" t="s">
        <v>5</v>
      </c>
      <c r="C916" t="s">
        <v>12</v>
      </c>
      <c r="D916" t="s">
        <v>15</v>
      </c>
      <c r="E916" s="7">
        <v>14310.607499999998</v>
      </c>
      <c r="F916" s="7">
        <v>10258.5</v>
      </c>
      <c r="G916" s="8">
        <f>Tabla1[[#This Row],[Ingresos]]-Tabla1[[#This Row],[Gastos]]</f>
        <v>4052.1074999999983</v>
      </c>
      <c r="H916" s="13">
        <f>Tabla1[[#This Row],[Beneficio]]/Tabla1[[#This Row],[Ingresos]]</f>
        <v>0.28315412186379918</v>
      </c>
    </row>
    <row r="917" spans="1:8" x14ac:dyDescent="0.35">
      <c r="A917" s="2">
        <v>43701</v>
      </c>
      <c r="B917" t="s">
        <v>7</v>
      </c>
      <c r="C917" t="s">
        <v>13</v>
      </c>
      <c r="D917" t="s">
        <v>17</v>
      </c>
      <c r="E917" s="7">
        <v>5574.7999999999993</v>
      </c>
      <c r="F917" s="7">
        <v>3167.5</v>
      </c>
      <c r="G917" s="8">
        <f>Tabla1[[#This Row],[Ingresos]]-Tabla1[[#This Row],[Gastos]]</f>
        <v>2407.2999999999993</v>
      </c>
      <c r="H917" s="13">
        <f>Tabla1[[#This Row],[Beneficio]]/Tabla1[[#This Row],[Ingresos]]</f>
        <v>0.43181818181818177</v>
      </c>
    </row>
    <row r="918" spans="1:8" x14ac:dyDescent="0.35">
      <c r="A918" s="2">
        <v>43702</v>
      </c>
      <c r="B918" t="s">
        <v>6</v>
      </c>
      <c r="C918" t="s">
        <v>11</v>
      </c>
      <c r="D918" t="s">
        <v>18</v>
      </c>
      <c r="E918" s="7">
        <v>6545.6747999999998</v>
      </c>
      <c r="F918" s="7">
        <v>5167.6379999999999</v>
      </c>
      <c r="G918" s="8">
        <f>Tabla1[[#This Row],[Ingresos]]-Tabla1[[#This Row],[Gastos]]</f>
        <v>1378.0367999999999</v>
      </c>
      <c r="H918" s="13">
        <f>Tabla1[[#This Row],[Beneficio]]/Tabla1[[#This Row],[Ingresos]]</f>
        <v>0.21052631578947367</v>
      </c>
    </row>
    <row r="919" spans="1:8" x14ac:dyDescent="0.35">
      <c r="A919" s="2">
        <v>43703</v>
      </c>
      <c r="B919" t="s">
        <v>5</v>
      </c>
      <c r="C919" t="s">
        <v>43</v>
      </c>
      <c r="D919" t="s">
        <v>18</v>
      </c>
      <c r="E919" s="7">
        <v>10525.367999999999</v>
      </c>
      <c r="F919" s="7">
        <v>9179.0999999999985</v>
      </c>
      <c r="G919" s="8">
        <f>Tabla1[[#This Row],[Ingresos]]-Tabla1[[#This Row],[Gastos]]</f>
        <v>1346.268</v>
      </c>
      <c r="H919" s="13">
        <f>Tabla1[[#This Row],[Beneficio]]/Tabla1[[#This Row],[Ingresos]]</f>
        <v>0.12790697674418608</v>
      </c>
    </row>
    <row r="920" spans="1:8" x14ac:dyDescent="0.35">
      <c r="A920" s="2">
        <v>43705</v>
      </c>
      <c r="B920" t="s">
        <v>6</v>
      </c>
      <c r="C920" t="s">
        <v>12</v>
      </c>
      <c r="D920" t="s">
        <v>17</v>
      </c>
      <c r="E920" s="7">
        <v>637.90649999999994</v>
      </c>
      <c r="F920" s="7">
        <v>460.24999999999994</v>
      </c>
      <c r="G920" s="8">
        <f>Tabla1[[#This Row],[Ingresos]]-Tabla1[[#This Row],[Gastos]]</f>
        <v>177.65649999999999</v>
      </c>
      <c r="H920" s="13">
        <f>Tabla1[[#This Row],[Beneficio]]/Tabla1[[#This Row],[Ingresos]]</f>
        <v>0.27849927849927852</v>
      </c>
    </row>
    <row r="921" spans="1:8" x14ac:dyDescent="0.35">
      <c r="A921" s="2">
        <v>43705</v>
      </c>
      <c r="B921" t="s">
        <v>6</v>
      </c>
      <c r="C921" t="s">
        <v>10</v>
      </c>
      <c r="D921" t="s">
        <v>17</v>
      </c>
      <c r="E921" s="7">
        <v>229375.125</v>
      </c>
      <c r="F921" s="7">
        <v>179361</v>
      </c>
      <c r="G921" s="8">
        <f>Tabla1[[#This Row],[Ingresos]]-Tabla1[[#This Row],[Gastos]]</f>
        <v>50014.125</v>
      </c>
      <c r="H921" s="13">
        <f>Tabla1[[#This Row],[Beneficio]]/Tabla1[[#This Row],[Ingresos]]</f>
        <v>0.21804511278195488</v>
      </c>
    </row>
    <row r="922" spans="1:8" x14ac:dyDescent="0.35">
      <c r="A922" s="2">
        <v>43705</v>
      </c>
      <c r="B922" t="s">
        <v>6</v>
      </c>
      <c r="C922" t="s">
        <v>12</v>
      </c>
      <c r="D922" t="s">
        <v>17</v>
      </c>
      <c r="E922" s="7">
        <v>390470.17099999997</v>
      </c>
      <c r="F922" s="7">
        <v>318751.15999999997</v>
      </c>
      <c r="G922" s="8">
        <f>Tabla1[[#This Row],[Ingresos]]-Tabla1[[#This Row],[Gastos]]</f>
        <v>71719.010999999999</v>
      </c>
      <c r="H922" s="13">
        <f>Tabla1[[#This Row],[Beneficio]]/Tabla1[[#This Row],[Ingresos]]</f>
        <v>0.18367346938775511</v>
      </c>
    </row>
    <row r="923" spans="1:8" x14ac:dyDescent="0.35">
      <c r="A923" s="2">
        <v>43707</v>
      </c>
      <c r="B923" t="s">
        <v>6</v>
      </c>
      <c r="C923" t="s">
        <v>10</v>
      </c>
      <c r="D923" t="s">
        <v>15</v>
      </c>
      <c r="E923" s="7">
        <v>2195.5499999999997</v>
      </c>
      <c r="F923" s="7">
        <v>1722</v>
      </c>
      <c r="G923" s="8">
        <f>Tabla1[[#This Row],[Ingresos]]-Tabla1[[#This Row],[Gastos]]</f>
        <v>473.54999999999973</v>
      </c>
      <c r="H923" s="13">
        <f>Tabla1[[#This Row],[Beneficio]]/Tabla1[[#This Row],[Ingresos]]</f>
        <v>0.21568627450980382</v>
      </c>
    </row>
    <row r="924" spans="1:8" x14ac:dyDescent="0.35">
      <c r="A924" s="2">
        <v>43707</v>
      </c>
      <c r="B924" t="s">
        <v>9</v>
      </c>
      <c r="C924" t="s">
        <v>43</v>
      </c>
      <c r="D924" t="s">
        <v>16</v>
      </c>
      <c r="E924" s="7">
        <v>170783.35312499997</v>
      </c>
      <c r="F924" s="7">
        <v>146486.34</v>
      </c>
      <c r="G924" s="8">
        <f>Tabla1[[#This Row],[Ingresos]]-Tabla1[[#This Row],[Gastos]]</f>
        <v>24297.013124999969</v>
      </c>
      <c r="H924" s="13">
        <f>Tabla1[[#This Row],[Beneficio]]/Tabla1[[#This Row],[Ingresos]]</f>
        <v>0.14226804123711326</v>
      </c>
    </row>
    <row r="925" spans="1:8" x14ac:dyDescent="0.35">
      <c r="A925" s="2">
        <v>43708</v>
      </c>
      <c r="B925" t="s">
        <v>5</v>
      </c>
      <c r="C925" t="s">
        <v>11</v>
      </c>
      <c r="D925" t="s">
        <v>17</v>
      </c>
      <c r="E925" s="7">
        <v>5677.0559999999996</v>
      </c>
      <c r="F925" s="7">
        <v>2956.7999999999997</v>
      </c>
      <c r="G925" s="8">
        <f>Tabla1[[#This Row],[Ingresos]]-Tabla1[[#This Row],[Gastos]]</f>
        <v>2720.2559999999999</v>
      </c>
      <c r="H925" s="13">
        <f>Tabla1[[#This Row],[Beneficio]]/Tabla1[[#This Row],[Ingresos]]</f>
        <v>0.47916666666666669</v>
      </c>
    </row>
    <row r="926" spans="1:8" x14ac:dyDescent="0.35">
      <c r="A926" s="2">
        <v>43709</v>
      </c>
      <c r="B926" t="s">
        <v>8</v>
      </c>
      <c r="C926" t="s">
        <v>43</v>
      </c>
      <c r="D926" t="s">
        <v>16</v>
      </c>
      <c r="E926" s="7">
        <v>87049.038461538454</v>
      </c>
      <c r="F926" s="7">
        <v>80472</v>
      </c>
      <c r="G926" s="8">
        <f>Tabla1[[#This Row],[Ingresos]]-Tabla1[[#This Row],[Gastos]]</f>
        <v>6577.0384615384537</v>
      </c>
      <c r="H926" s="13">
        <f>Tabla1[[#This Row],[Beneficio]]/Tabla1[[#This Row],[Ingresos]]</f>
        <v>7.5555555555555473E-2</v>
      </c>
    </row>
    <row r="927" spans="1:8" x14ac:dyDescent="0.35">
      <c r="A927" s="2">
        <v>43709</v>
      </c>
      <c r="B927" t="s">
        <v>8</v>
      </c>
      <c r="C927" t="s">
        <v>10</v>
      </c>
      <c r="D927" t="s">
        <v>16</v>
      </c>
      <c r="E927" s="7">
        <v>69522.620192307688</v>
      </c>
      <c r="F927" s="7">
        <v>66486</v>
      </c>
      <c r="G927" s="8">
        <f>Tabla1[[#This Row],[Ingresos]]-Tabla1[[#This Row],[Gastos]]</f>
        <v>3036.6201923076878</v>
      </c>
      <c r="H927" s="13">
        <f>Tabla1[[#This Row],[Beneficio]]/Tabla1[[#This Row],[Ingresos]]</f>
        <v>4.3678160919540167E-2</v>
      </c>
    </row>
    <row r="928" spans="1:8" x14ac:dyDescent="0.35">
      <c r="A928" s="2">
        <v>43709</v>
      </c>
      <c r="B928" t="s">
        <v>9</v>
      </c>
      <c r="C928" t="s">
        <v>43</v>
      </c>
      <c r="D928" t="s">
        <v>17</v>
      </c>
      <c r="E928" s="7">
        <v>5788.4924999999994</v>
      </c>
      <c r="F928" s="7">
        <v>4352.25</v>
      </c>
      <c r="G928" s="8">
        <f>Tabla1[[#This Row],[Ingresos]]-Tabla1[[#This Row],[Gastos]]</f>
        <v>1436.2424999999994</v>
      </c>
      <c r="H928" s="13">
        <f>Tabla1[[#This Row],[Beneficio]]/Tabla1[[#This Row],[Ingresos]]</f>
        <v>0.24812030075187963</v>
      </c>
    </row>
    <row r="929" spans="1:8" x14ac:dyDescent="0.35">
      <c r="A929" s="2">
        <v>43710</v>
      </c>
      <c r="B929" t="s">
        <v>8</v>
      </c>
      <c r="C929" t="s">
        <v>10</v>
      </c>
      <c r="D929" t="s">
        <v>19</v>
      </c>
      <c r="E929" s="7">
        <v>363328.875</v>
      </c>
      <c r="F929" s="7">
        <v>332718.75</v>
      </c>
      <c r="G929" s="8">
        <f>Tabla1[[#This Row],[Ingresos]]-Tabla1[[#This Row],[Gastos]]</f>
        <v>30610.125</v>
      </c>
      <c r="H929" s="13">
        <f>Tabla1[[#This Row],[Beneficio]]/Tabla1[[#This Row],[Ingresos]]</f>
        <v>8.4249084249084255E-2</v>
      </c>
    </row>
    <row r="930" spans="1:8" x14ac:dyDescent="0.35">
      <c r="A930" s="2">
        <v>43711</v>
      </c>
      <c r="B930" t="s">
        <v>7</v>
      </c>
      <c r="C930" t="s">
        <v>10</v>
      </c>
      <c r="D930" t="s">
        <v>19</v>
      </c>
      <c r="E930" s="7">
        <v>168665.49</v>
      </c>
      <c r="F930" s="7">
        <v>156171.75</v>
      </c>
      <c r="G930" s="8">
        <f>Tabla1[[#This Row],[Ingresos]]-Tabla1[[#This Row],[Gastos]]</f>
        <v>12493.739999999991</v>
      </c>
      <c r="H930" s="13">
        <f>Tabla1[[#This Row],[Beneficio]]/Tabla1[[#This Row],[Ingresos]]</f>
        <v>7.4074074074074028E-2</v>
      </c>
    </row>
    <row r="931" spans="1:8" x14ac:dyDescent="0.35">
      <c r="A931" s="2">
        <v>43711</v>
      </c>
      <c r="B931" t="s">
        <v>8</v>
      </c>
      <c r="C931" t="s">
        <v>10</v>
      </c>
      <c r="D931" t="s">
        <v>19</v>
      </c>
      <c r="E931" s="7">
        <v>78351.504000000001</v>
      </c>
      <c r="F931" s="7">
        <v>75922</v>
      </c>
      <c r="G931" s="8">
        <f>Tabla1[[#This Row],[Ingresos]]-Tabla1[[#This Row],[Gastos]]</f>
        <v>2429.5040000000008</v>
      </c>
      <c r="H931" s="13">
        <f>Tabla1[[#This Row],[Beneficio]]/Tabla1[[#This Row],[Ingresos]]</f>
        <v>3.1007751937984506E-2</v>
      </c>
    </row>
    <row r="932" spans="1:8" x14ac:dyDescent="0.35">
      <c r="A932" s="2">
        <v>43712</v>
      </c>
      <c r="B932" t="s">
        <v>8</v>
      </c>
      <c r="C932" t="s">
        <v>10</v>
      </c>
      <c r="D932" t="s">
        <v>19</v>
      </c>
      <c r="E932" s="7">
        <v>470109.02400000003</v>
      </c>
      <c r="F932" s="7">
        <v>455532</v>
      </c>
      <c r="G932" s="8">
        <f>Tabla1[[#This Row],[Ingresos]]-Tabla1[[#This Row],[Gastos]]</f>
        <v>14577.024000000034</v>
      </c>
      <c r="H932" s="13">
        <f>Tabla1[[#This Row],[Beneficio]]/Tabla1[[#This Row],[Ingresos]]</f>
        <v>3.1007751937984565E-2</v>
      </c>
    </row>
    <row r="933" spans="1:8" x14ac:dyDescent="0.35">
      <c r="A933" s="2">
        <v>43714</v>
      </c>
      <c r="B933" t="s">
        <v>5</v>
      </c>
      <c r="C933" t="s">
        <v>11</v>
      </c>
      <c r="D933" t="s">
        <v>17</v>
      </c>
      <c r="E933" s="7">
        <v>3648.12</v>
      </c>
      <c r="F933" s="7">
        <v>2121</v>
      </c>
      <c r="G933" s="8">
        <f>Tabla1[[#This Row],[Ingresos]]-Tabla1[[#This Row],[Gastos]]</f>
        <v>1527.12</v>
      </c>
      <c r="H933" s="13">
        <f>Tabla1[[#This Row],[Beneficio]]/Tabla1[[#This Row],[Ingresos]]</f>
        <v>0.41860465116279066</v>
      </c>
    </row>
    <row r="934" spans="1:8" x14ac:dyDescent="0.35">
      <c r="A934" s="2">
        <v>43715</v>
      </c>
      <c r="B934" t="s">
        <v>6</v>
      </c>
      <c r="C934" t="s">
        <v>10</v>
      </c>
      <c r="D934" t="s">
        <v>15</v>
      </c>
      <c r="E934" s="7">
        <v>3217.7249999999999</v>
      </c>
      <c r="F934" s="7">
        <v>2383.5</v>
      </c>
      <c r="G934" s="8">
        <f>Tabla1[[#This Row],[Ingresos]]-Tabla1[[#This Row],[Gastos]]</f>
        <v>834.22499999999991</v>
      </c>
      <c r="H934" s="13">
        <f>Tabla1[[#This Row],[Beneficio]]/Tabla1[[#This Row],[Ingresos]]</f>
        <v>0.25925925925925924</v>
      </c>
    </row>
    <row r="935" spans="1:8" x14ac:dyDescent="0.35">
      <c r="A935" s="2">
        <v>43715</v>
      </c>
      <c r="B935" t="s">
        <v>6</v>
      </c>
      <c r="C935" t="s">
        <v>43</v>
      </c>
      <c r="D935" t="s">
        <v>17</v>
      </c>
      <c r="E935" s="7">
        <v>47559.399999999994</v>
      </c>
      <c r="F935" s="7">
        <v>38402</v>
      </c>
      <c r="G935" s="8">
        <f>Tabla1[[#This Row],[Ingresos]]-Tabla1[[#This Row],[Gastos]]</f>
        <v>9157.3999999999942</v>
      </c>
      <c r="H935" s="13">
        <f>Tabla1[[#This Row],[Beneficio]]/Tabla1[[#This Row],[Ingresos]]</f>
        <v>0.19254658385093157</v>
      </c>
    </row>
    <row r="936" spans="1:8" x14ac:dyDescent="0.35">
      <c r="A936" s="2">
        <v>43715</v>
      </c>
      <c r="B936" t="s">
        <v>9</v>
      </c>
      <c r="C936" t="s">
        <v>12</v>
      </c>
      <c r="D936" t="s">
        <v>17</v>
      </c>
      <c r="E936" s="7">
        <v>6382.6297499999991</v>
      </c>
      <c r="F936" s="7">
        <v>5301.1875</v>
      </c>
      <c r="G936" s="8">
        <f>Tabla1[[#This Row],[Ingresos]]-Tabla1[[#This Row],[Gastos]]</f>
        <v>1081.4422499999991</v>
      </c>
      <c r="H936" s="13">
        <f>Tabla1[[#This Row],[Beneficio]]/Tabla1[[#This Row],[Ingresos]]</f>
        <v>0.16943521594684374</v>
      </c>
    </row>
    <row r="937" spans="1:8" x14ac:dyDescent="0.35">
      <c r="A937" s="2">
        <v>43716</v>
      </c>
      <c r="B937" t="s">
        <v>6</v>
      </c>
      <c r="C937" t="s">
        <v>12</v>
      </c>
      <c r="D937" t="s">
        <v>16</v>
      </c>
      <c r="E937" s="7">
        <v>42089.855769230766</v>
      </c>
      <c r="F937" s="7">
        <v>37254</v>
      </c>
      <c r="G937" s="8">
        <f>Tabla1[[#This Row],[Ingresos]]-Tabla1[[#This Row],[Gastos]]</f>
        <v>4835.8557692307659</v>
      </c>
      <c r="H937" s="13">
        <f>Tabla1[[#This Row],[Beneficio]]/Tabla1[[#This Row],[Ingresos]]</f>
        <v>0.11489361702127653</v>
      </c>
    </row>
    <row r="938" spans="1:8" x14ac:dyDescent="0.35">
      <c r="A938" s="2">
        <v>43716</v>
      </c>
      <c r="B938" t="s">
        <v>8</v>
      </c>
      <c r="C938" t="s">
        <v>13</v>
      </c>
      <c r="D938" t="s">
        <v>17</v>
      </c>
      <c r="E938" s="7">
        <v>7606.4099999999989</v>
      </c>
      <c r="F938" s="7">
        <v>4371.5</v>
      </c>
      <c r="G938" s="8">
        <f>Tabla1[[#This Row],[Ingresos]]-Tabla1[[#This Row],[Gastos]]</f>
        <v>3234.9099999999989</v>
      </c>
      <c r="H938" s="13">
        <f>Tabla1[[#This Row],[Beneficio]]/Tabla1[[#This Row],[Ingresos]]</f>
        <v>0.42528735632183901</v>
      </c>
    </row>
    <row r="939" spans="1:8" x14ac:dyDescent="0.35">
      <c r="A939" s="2">
        <v>43717</v>
      </c>
      <c r="B939" t="s">
        <v>5</v>
      </c>
      <c r="C939" t="s">
        <v>10</v>
      </c>
      <c r="D939" t="s">
        <v>18</v>
      </c>
      <c r="E939" s="7">
        <v>5906.8799999999992</v>
      </c>
      <c r="F939" s="7">
        <v>4614.75</v>
      </c>
      <c r="G939" s="8">
        <f>Tabla1[[#This Row],[Ingresos]]-Tabla1[[#This Row],[Gastos]]</f>
        <v>1292.1299999999992</v>
      </c>
      <c r="H939" s="13">
        <f>Tabla1[[#This Row],[Beneficio]]/Tabla1[[#This Row],[Ingresos]]</f>
        <v>0.21874999999999989</v>
      </c>
    </row>
    <row r="940" spans="1:8" x14ac:dyDescent="0.35">
      <c r="A940" s="2">
        <v>43717</v>
      </c>
      <c r="B940" t="s">
        <v>8</v>
      </c>
      <c r="C940" t="s">
        <v>13</v>
      </c>
      <c r="D940" t="s">
        <v>18</v>
      </c>
      <c r="E940" s="7">
        <v>10204.655999999999</v>
      </c>
      <c r="F940" s="7">
        <v>8697.15</v>
      </c>
      <c r="G940" s="8">
        <f>Tabla1[[#This Row],[Ingresos]]-Tabla1[[#This Row],[Gastos]]</f>
        <v>1507.5059999999994</v>
      </c>
      <c r="H940" s="13">
        <f>Tabla1[[#This Row],[Beneficio]]/Tabla1[[#This Row],[Ingresos]]</f>
        <v>0.14772727272727268</v>
      </c>
    </row>
    <row r="941" spans="1:8" x14ac:dyDescent="0.35">
      <c r="A941" s="2">
        <v>43718</v>
      </c>
      <c r="B941" t="s">
        <v>9</v>
      </c>
      <c r="C941" t="s">
        <v>11</v>
      </c>
      <c r="D941" t="s">
        <v>15</v>
      </c>
      <c r="E941" s="7">
        <v>5744.7526499999985</v>
      </c>
      <c r="F941" s="7">
        <v>4208.6099999999997</v>
      </c>
      <c r="G941" s="8">
        <f>Tabla1[[#This Row],[Ingresos]]-Tabla1[[#This Row],[Gastos]]</f>
        <v>1536.1426499999989</v>
      </c>
      <c r="H941" s="13">
        <f>Tabla1[[#This Row],[Beneficio]]/Tabla1[[#This Row],[Ingresos]]</f>
        <v>0.26739926739926728</v>
      </c>
    </row>
    <row r="942" spans="1:8" x14ac:dyDescent="0.35">
      <c r="A942" s="2">
        <v>43719</v>
      </c>
      <c r="B942" t="s">
        <v>6</v>
      </c>
      <c r="C942" t="s">
        <v>43</v>
      </c>
      <c r="D942" t="s">
        <v>17</v>
      </c>
      <c r="E942" s="7">
        <v>224263.19999999998</v>
      </c>
      <c r="F942" s="7">
        <v>173537</v>
      </c>
      <c r="G942" s="8">
        <f>Tabla1[[#This Row],[Ingresos]]-Tabla1[[#This Row],[Gastos]]</f>
        <v>50726.199999999983</v>
      </c>
      <c r="H942" s="13">
        <f>Tabla1[[#This Row],[Beneficio]]/Tabla1[[#This Row],[Ingresos]]</f>
        <v>0.22619047619047614</v>
      </c>
    </row>
    <row r="943" spans="1:8" x14ac:dyDescent="0.35">
      <c r="A943" s="2">
        <v>43720</v>
      </c>
      <c r="B943" t="s">
        <v>6</v>
      </c>
      <c r="C943" t="s">
        <v>13</v>
      </c>
      <c r="D943" t="s">
        <v>19</v>
      </c>
      <c r="E943" s="7">
        <v>564779.09250000003</v>
      </c>
      <c r="F943" s="7">
        <v>528819.375</v>
      </c>
      <c r="G943" s="8">
        <f>Tabla1[[#This Row],[Ingresos]]-Tabla1[[#This Row],[Gastos]]</f>
        <v>35959.717500000028</v>
      </c>
      <c r="H943" s="13">
        <f>Tabla1[[#This Row],[Beneficio]]/Tabla1[[#This Row],[Ingresos]]</f>
        <v>6.3670411985018771E-2</v>
      </c>
    </row>
    <row r="944" spans="1:8" x14ac:dyDescent="0.35">
      <c r="A944" s="2">
        <v>43721</v>
      </c>
      <c r="B944" t="s">
        <v>8</v>
      </c>
      <c r="C944" t="s">
        <v>11</v>
      </c>
      <c r="D944" t="s">
        <v>16</v>
      </c>
      <c r="E944" s="7">
        <v>69522.620192307688</v>
      </c>
      <c r="F944" s="7">
        <v>66486</v>
      </c>
      <c r="G944" s="8">
        <f>Tabla1[[#This Row],[Ingresos]]-Tabla1[[#This Row],[Gastos]]</f>
        <v>3036.6201923076878</v>
      </c>
      <c r="H944" s="13">
        <f>Tabla1[[#This Row],[Beneficio]]/Tabla1[[#This Row],[Ingresos]]</f>
        <v>4.3678160919540167E-2</v>
      </c>
    </row>
    <row r="945" spans="1:8" x14ac:dyDescent="0.35">
      <c r="A945" s="2">
        <v>43722</v>
      </c>
      <c r="B945" t="s">
        <v>8</v>
      </c>
      <c r="C945" t="s">
        <v>11</v>
      </c>
      <c r="D945" t="s">
        <v>18</v>
      </c>
      <c r="E945" s="7">
        <v>14239.014299999997</v>
      </c>
      <c r="F945" s="7">
        <v>11865.84525</v>
      </c>
      <c r="G945" s="8">
        <f>Tabla1[[#This Row],[Ingresos]]-Tabla1[[#This Row],[Gastos]]</f>
        <v>2373.1690499999968</v>
      </c>
      <c r="H945" s="13">
        <f>Tabla1[[#This Row],[Beneficio]]/Tabla1[[#This Row],[Ingresos]]</f>
        <v>0.16666666666666646</v>
      </c>
    </row>
    <row r="946" spans="1:8" x14ac:dyDescent="0.35">
      <c r="A946" s="2">
        <v>43724</v>
      </c>
      <c r="B946" t="s">
        <v>7</v>
      </c>
      <c r="C946" t="s">
        <v>13</v>
      </c>
      <c r="D946" t="s">
        <v>16</v>
      </c>
      <c r="E946" s="7">
        <v>34871.862980769227</v>
      </c>
      <c r="F946" s="7">
        <v>33736.5</v>
      </c>
      <c r="G946" s="8">
        <f>Tabla1[[#This Row],[Ingresos]]-Tabla1[[#This Row],[Gastos]]</f>
        <v>1135.3629807692269</v>
      </c>
      <c r="H946" s="13">
        <f>Tabla1[[#This Row],[Beneficio]]/Tabla1[[#This Row],[Ingresos]]</f>
        <v>3.2558139534883609E-2</v>
      </c>
    </row>
    <row r="947" spans="1:8" x14ac:dyDescent="0.35">
      <c r="A947" s="2">
        <v>43724</v>
      </c>
      <c r="B947" t="s">
        <v>7</v>
      </c>
      <c r="C947" t="s">
        <v>13</v>
      </c>
      <c r="D947" t="s">
        <v>17</v>
      </c>
      <c r="E947" s="7">
        <v>2160.5192699999998</v>
      </c>
      <c r="F947" s="7">
        <v>1695.855</v>
      </c>
      <c r="G947" s="8">
        <f>Tabla1[[#This Row],[Ingresos]]-Tabla1[[#This Row],[Gastos]]</f>
        <v>464.66426999999976</v>
      </c>
      <c r="H947" s="13">
        <f>Tabla1[[#This Row],[Beneficio]]/Tabla1[[#This Row],[Ingresos]]</f>
        <v>0.21507064364207212</v>
      </c>
    </row>
    <row r="948" spans="1:8" x14ac:dyDescent="0.35">
      <c r="A948" s="2">
        <v>43724</v>
      </c>
      <c r="B948" t="s">
        <v>9</v>
      </c>
      <c r="C948" t="s">
        <v>12</v>
      </c>
      <c r="D948" t="s">
        <v>19</v>
      </c>
      <c r="E948" s="7">
        <v>220893.75</v>
      </c>
      <c r="F948" s="7">
        <v>216562.5</v>
      </c>
      <c r="G948" s="8">
        <f>Tabla1[[#This Row],[Ingresos]]-Tabla1[[#This Row],[Gastos]]</f>
        <v>4331.25</v>
      </c>
      <c r="H948" s="13">
        <f>Tabla1[[#This Row],[Beneficio]]/Tabla1[[#This Row],[Ingresos]]</f>
        <v>1.9607843137254902E-2</v>
      </c>
    </row>
    <row r="949" spans="1:8" x14ac:dyDescent="0.35">
      <c r="A949" s="2">
        <v>43724</v>
      </c>
      <c r="B949" t="s">
        <v>9</v>
      </c>
      <c r="C949" t="s">
        <v>10</v>
      </c>
      <c r="D949" t="s">
        <v>18</v>
      </c>
      <c r="E949" s="7">
        <v>7265.9216699999997</v>
      </c>
      <c r="F949" s="7">
        <v>5859.6142499999996</v>
      </c>
      <c r="G949" s="8">
        <f>Tabla1[[#This Row],[Ingresos]]-Tabla1[[#This Row],[Gastos]]</f>
        <v>1406.3074200000001</v>
      </c>
      <c r="H949" s="13">
        <f>Tabla1[[#This Row],[Beneficio]]/Tabla1[[#This Row],[Ingresos]]</f>
        <v>0.19354838709677422</v>
      </c>
    </row>
    <row r="950" spans="1:8" x14ac:dyDescent="0.35">
      <c r="A950" s="2">
        <v>43725</v>
      </c>
      <c r="B950" t="s">
        <v>5</v>
      </c>
      <c r="C950" t="s">
        <v>13</v>
      </c>
      <c r="D950" t="s">
        <v>19</v>
      </c>
      <c r="E950" s="7">
        <v>282838.5</v>
      </c>
      <c r="F950" s="7">
        <v>261887.49999999997</v>
      </c>
      <c r="G950" s="8">
        <f>Tabla1[[#This Row],[Ingresos]]-Tabla1[[#This Row],[Gastos]]</f>
        <v>20951.000000000029</v>
      </c>
      <c r="H950" s="13">
        <f>Tabla1[[#This Row],[Beneficio]]/Tabla1[[#This Row],[Ingresos]]</f>
        <v>7.4074074074074181E-2</v>
      </c>
    </row>
    <row r="951" spans="1:8" x14ac:dyDescent="0.35">
      <c r="A951" s="2">
        <v>43726</v>
      </c>
      <c r="B951" t="s">
        <v>9</v>
      </c>
      <c r="C951" t="s">
        <v>10</v>
      </c>
      <c r="D951" t="s">
        <v>15</v>
      </c>
      <c r="E951" s="7">
        <v>5861.9924999999994</v>
      </c>
      <c r="F951" s="7">
        <v>4294.5</v>
      </c>
      <c r="G951" s="8">
        <f>Tabla1[[#This Row],[Ingresos]]-Tabla1[[#This Row],[Gastos]]</f>
        <v>1567.4924999999994</v>
      </c>
      <c r="H951" s="13">
        <f>Tabla1[[#This Row],[Beneficio]]/Tabla1[[#This Row],[Ingresos]]</f>
        <v>0.26739926739926734</v>
      </c>
    </row>
    <row r="952" spans="1:8" x14ac:dyDescent="0.35">
      <c r="A952" s="2">
        <v>43726</v>
      </c>
      <c r="B952" t="s">
        <v>5</v>
      </c>
      <c r="C952" t="s">
        <v>13</v>
      </c>
      <c r="D952" t="s">
        <v>17</v>
      </c>
      <c r="E952" s="7">
        <v>17708.949999999997</v>
      </c>
      <c r="F952" s="7">
        <v>9320.5</v>
      </c>
      <c r="G952" s="8">
        <f>Tabla1[[#This Row],[Ingresos]]-Tabla1[[#This Row],[Gastos]]</f>
        <v>8388.4499999999971</v>
      </c>
      <c r="H952" s="13">
        <f>Tabla1[[#This Row],[Beneficio]]/Tabla1[[#This Row],[Ingresos]]</f>
        <v>0.47368421052631571</v>
      </c>
    </row>
    <row r="953" spans="1:8" x14ac:dyDescent="0.35">
      <c r="A953" s="2">
        <v>43727</v>
      </c>
      <c r="B953" t="s">
        <v>9</v>
      </c>
      <c r="C953" t="s">
        <v>11</v>
      </c>
      <c r="D953" t="s">
        <v>15</v>
      </c>
      <c r="E953" s="7">
        <v>47733.84</v>
      </c>
      <c r="F953" s="7">
        <v>32143.999999999996</v>
      </c>
      <c r="G953" s="8">
        <f>Tabla1[[#This Row],[Ingresos]]-Tabla1[[#This Row],[Gastos]]</f>
        <v>15589.84</v>
      </c>
      <c r="H953" s="13">
        <f>Tabla1[[#This Row],[Beneficio]]/Tabla1[[#This Row],[Ingresos]]</f>
        <v>0.32659932659932661</v>
      </c>
    </row>
    <row r="954" spans="1:8" x14ac:dyDescent="0.35">
      <c r="A954" s="2">
        <v>43728</v>
      </c>
      <c r="B954" t="s">
        <v>9</v>
      </c>
      <c r="C954" t="s">
        <v>43</v>
      </c>
      <c r="D954" t="s">
        <v>17</v>
      </c>
      <c r="E954" s="7">
        <v>239051.4</v>
      </c>
      <c r="F954" s="7">
        <v>188916</v>
      </c>
      <c r="G954" s="8">
        <f>Tabla1[[#This Row],[Ingresos]]-Tabla1[[#This Row],[Gastos]]</f>
        <v>50135.399999999994</v>
      </c>
      <c r="H954" s="13">
        <f>Tabla1[[#This Row],[Beneficio]]/Tabla1[[#This Row],[Ingresos]]</f>
        <v>0.20972644376899693</v>
      </c>
    </row>
    <row r="955" spans="1:8" x14ac:dyDescent="0.35">
      <c r="A955" s="2">
        <v>43728</v>
      </c>
      <c r="B955" t="s">
        <v>5</v>
      </c>
      <c r="C955" t="s">
        <v>43</v>
      </c>
      <c r="D955" t="s">
        <v>17</v>
      </c>
      <c r="E955" s="7">
        <v>142006.704</v>
      </c>
      <c r="F955" s="7">
        <v>109886.14</v>
      </c>
      <c r="G955" s="8">
        <f>Tabla1[[#This Row],[Ingresos]]-Tabla1[[#This Row],[Gastos]]</f>
        <v>32120.563999999998</v>
      </c>
      <c r="H955" s="13">
        <f>Tabla1[[#This Row],[Beneficio]]/Tabla1[[#This Row],[Ingresos]]</f>
        <v>0.22619047619047619</v>
      </c>
    </row>
    <row r="956" spans="1:8" x14ac:dyDescent="0.35">
      <c r="A956" s="2">
        <v>43729</v>
      </c>
      <c r="B956" t="s">
        <v>7</v>
      </c>
      <c r="C956" t="s">
        <v>10</v>
      </c>
      <c r="D956" t="s">
        <v>19</v>
      </c>
      <c r="E956" s="7">
        <v>100590</v>
      </c>
      <c r="F956" s="7">
        <v>83825</v>
      </c>
      <c r="G956" s="8">
        <f>Tabla1[[#This Row],[Ingresos]]-Tabla1[[#This Row],[Gastos]]</f>
        <v>16765</v>
      </c>
      <c r="H956" s="13">
        <f>Tabla1[[#This Row],[Beneficio]]/Tabla1[[#This Row],[Ingresos]]</f>
        <v>0.16666666666666666</v>
      </c>
    </row>
    <row r="957" spans="1:8" x14ac:dyDescent="0.35">
      <c r="A957" s="2">
        <v>43732</v>
      </c>
      <c r="B957" t="s">
        <v>9</v>
      </c>
      <c r="C957" t="s">
        <v>11</v>
      </c>
      <c r="D957" t="s">
        <v>15</v>
      </c>
      <c r="E957" s="7">
        <v>10239.074999999999</v>
      </c>
      <c r="F957" s="7">
        <v>7584.4999999999991</v>
      </c>
      <c r="G957" s="8">
        <f>Tabla1[[#This Row],[Ingresos]]-Tabla1[[#This Row],[Gastos]]</f>
        <v>2654.5749999999998</v>
      </c>
      <c r="H957" s="13">
        <f>Tabla1[[#This Row],[Beneficio]]/Tabla1[[#This Row],[Ingresos]]</f>
        <v>0.25925925925925924</v>
      </c>
    </row>
    <row r="958" spans="1:8" x14ac:dyDescent="0.35">
      <c r="A958" s="2">
        <v>43732</v>
      </c>
      <c r="B958" t="s">
        <v>8</v>
      </c>
      <c r="C958" t="s">
        <v>12</v>
      </c>
      <c r="D958" t="s">
        <v>15</v>
      </c>
      <c r="E958" s="7">
        <v>64561.643999999993</v>
      </c>
      <c r="F958" s="7">
        <v>45788.399999999994</v>
      </c>
      <c r="G958" s="8">
        <f>Tabla1[[#This Row],[Ingresos]]-Tabla1[[#This Row],[Gastos]]</f>
        <v>18773.243999999999</v>
      </c>
      <c r="H958" s="13">
        <f>Tabla1[[#This Row],[Beneficio]]/Tabla1[[#This Row],[Ingresos]]</f>
        <v>0.29078014184397166</v>
      </c>
    </row>
    <row r="959" spans="1:8" x14ac:dyDescent="0.35">
      <c r="A959" s="2">
        <v>43732</v>
      </c>
      <c r="B959" t="s">
        <v>5</v>
      </c>
      <c r="C959" t="s">
        <v>13</v>
      </c>
      <c r="D959" t="s">
        <v>16</v>
      </c>
      <c r="E959" s="7">
        <v>91557.960576923084</v>
      </c>
      <c r="F959" s="7">
        <v>76945.680000000008</v>
      </c>
      <c r="G959" s="8">
        <f>Tabla1[[#This Row],[Ingresos]]-Tabla1[[#This Row],[Gastos]]</f>
        <v>14612.280576923076</v>
      </c>
      <c r="H959" s="13">
        <f>Tabla1[[#This Row],[Beneficio]]/Tabla1[[#This Row],[Ingresos]]</f>
        <v>0.15959595959595957</v>
      </c>
    </row>
    <row r="960" spans="1:8" x14ac:dyDescent="0.35">
      <c r="A960" s="2">
        <v>43732</v>
      </c>
      <c r="B960" t="s">
        <v>5</v>
      </c>
      <c r="C960" t="s">
        <v>10</v>
      </c>
      <c r="D960" t="s">
        <v>17</v>
      </c>
      <c r="E960" s="7">
        <v>70057.75</v>
      </c>
      <c r="F960" s="7">
        <v>54782</v>
      </c>
      <c r="G960" s="8">
        <f>Tabla1[[#This Row],[Ingresos]]-Tabla1[[#This Row],[Gastos]]</f>
        <v>15275.75</v>
      </c>
      <c r="H960" s="13">
        <f>Tabla1[[#This Row],[Beneficio]]/Tabla1[[#This Row],[Ingresos]]</f>
        <v>0.21804511278195488</v>
      </c>
    </row>
    <row r="961" spans="1:8" x14ac:dyDescent="0.35">
      <c r="A961" s="2">
        <v>43733</v>
      </c>
      <c r="B961" t="s">
        <v>9</v>
      </c>
      <c r="C961" t="s">
        <v>10</v>
      </c>
      <c r="D961" t="s">
        <v>17</v>
      </c>
      <c r="E961" s="7">
        <v>14851.559939999999</v>
      </c>
      <c r="F961" s="7">
        <v>11919.39</v>
      </c>
      <c r="G961" s="8">
        <f>Tabla1[[#This Row],[Ingresos]]-Tabla1[[#This Row],[Gastos]]</f>
        <v>2932.1699399999998</v>
      </c>
      <c r="H961" s="13">
        <f>Tabla1[[#This Row],[Beneficio]]/Tabla1[[#This Row],[Ingresos]]</f>
        <v>0.19743178170144463</v>
      </c>
    </row>
    <row r="962" spans="1:8" x14ac:dyDescent="0.35">
      <c r="A962" s="2">
        <v>43733</v>
      </c>
      <c r="B962" t="s">
        <v>7</v>
      </c>
      <c r="C962" t="s">
        <v>12</v>
      </c>
      <c r="D962" t="s">
        <v>19</v>
      </c>
      <c r="E962" s="7">
        <v>82740</v>
      </c>
      <c r="F962" s="7">
        <v>68950</v>
      </c>
      <c r="G962" s="8">
        <f>Tabla1[[#This Row],[Ingresos]]-Tabla1[[#This Row],[Gastos]]</f>
        <v>13790</v>
      </c>
      <c r="H962" s="13">
        <f>Tabla1[[#This Row],[Beneficio]]/Tabla1[[#This Row],[Ingresos]]</f>
        <v>0.16666666666666666</v>
      </c>
    </row>
    <row r="963" spans="1:8" x14ac:dyDescent="0.35">
      <c r="A963" s="2">
        <v>43734</v>
      </c>
      <c r="B963" t="s">
        <v>9</v>
      </c>
      <c r="C963" t="s">
        <v>43</v>
      </c>
      <c r="D963" t="s">
        <v>16</v>
      </c>
      <c r="E963" s="7">
        <v>63019.687499999993</v>
      </c>
      <c r="F963" s="7">
        <v>54054</v>
      </c>
      <c r="G963" s="8">
        <f>Tabla1[[#This Row],[Ingresos]]-Tabla1[[#This Row],[Gastos]]</f>
        <v>8965.6874999999927</v>
      </c>
      <c r="H963" s="13">
        <f>Tabla1[[#This Row],[Beneficio]]/Tabla1[[#This Row],[Ingresos]]</f>
        <v>0.14226804123711331</v>
      </c>
    </row>
    <row r="964" spans="1:8" x14ac:dyDescent="0.35">
      <c r="A964" s="2">
        <v>43734</v>
      </c>
      <c r="B964" t="s">
        <v>5</v>
      </c>
      <c r="C964" t="s">
        <v>13</v>
      </c>
      <c r="D964" t="s">
        <v>17</v>
      </c>
      <c r="E964" s="7">
        <v>15229.696999999998</v>
      </c>
      <c r="F964" s="7">
        <v>8015.6299999999992</v>
      </c>
      <c r="G964" s="8">
        <f>Tabla1[[#This Row],[Ingresos]]-Tabla1[[#This Row],[Gastos]]</f>
        <v>7214.0669999999991</v>
      </c>
      <c r="H964" s="13">
        <f>Tabla1[[#This Row],[Beneficio]]/Tabla1[[#This Row],[Ingresos]]</f>
        <v>0.47368421052631576</v>
      </c>
    </row>
    <row r="965" spans="1:8" x14ac:dyDescent="0.35">
      <c r="A965" s="2">
        <v>43736</v>
      </c>
      <c r="B965" t="s">
        <v>7</v>
      </c>
      <c r="C965" t="s">
        <v>43</v>
      </c>
      <c r="D965" t="s">
        <v>17</v>
      </c>
      <c r="E965" s="7">
        <v>7389.34</v>
      </c>
      <c r="F965" s="7">
        <v>3930.4999999999995</v>
      </c>
      <c r="G965" s="8">
        <f>Tabla1[[#This Row],[Ingresos]]-Tabla1[[#This Row],[Gastos]]</f>
        <v>3458.8400000000006</v>
      </c>
      <c r="H965" s="13">
        <f>Tabla1[[#This Row],[Beneficio]]/Tabla1[[#This Row],[Ingresos]]</f>
        <v>0.46808510638297879</v>
      </c>
    </row>
    <row r="966" spans="1:8" x14ac:dyDescent="0.35">
      <c r="A966" s="2">
        <v>43736</v>
      </c>
      <c r="B966" t="s">
        <v>7</v>
      </c>
      <c r="C966" t="s">
        <v>11</v>
      </c>
      <c r="D966" t="s">
        <v>17</v>
      </c>
      <c r="E966" s="7">
        <v>45955.139999999992</v>
      </c>
      <c r="F966" s="7">
        <v>26110.875</v>
      </c>
      <c r="G966" s="8">
        <f>Tabla1[[#This Row],[Ingresos]]-Tabla1[[#This Row],[Gastos]]</f>
        <v>19844.264999999992</v>
      </c>
      <c r="H966" s="13">
        <f>Tabla1[[#This Row],[Beneficio]]/Tabla1[[#This Row],[Ingresos]]</f>
        <v>0.43181818181818171</v>
      </c>
    </row>
    <row r="967" spans="1:8" x14ac:dyDescent="0.35">
      <c r="A967" s="2">
        <v>43737</v>
      </c>
      <c r="B967" t="s">
        <v>9</v>
      </c>
      <c r="C967" t="s">
        <v>11</v>
      </c>
      <c r="D967" t="s">
        <v>16</v>
      </c>
      <c r="E967" s="7">
        <v>15338.076923076922</v>
      </c>
      <c r="F967" s="7">
        <v>6646.5</v>
      </c>
      <c r="G967" s="8">
        <f>Tabla1[[#This Row],[Ingresos]]-Tabla1[[#This Row],[Gastos]]</f>
        <v>8691.576923076922</v>
      </c>
      <c r="H967" s="13">
        <f>Tabla1[[#This Row],[Beneficio]]/Tabla1[[#This Row],[Ingresos]]</f>
        <v>0.56666666666666665</v>
      </c>
    </row>
    <row r="968" spans="1:8" x14ac:dyDescent="0.35">
      <c r="A968" s="2">
        <v>43738</v>
      </c>
      <c r="B968" t="s">
        <v>6</v>
      </c>
      <c r="C968" t="s">
        <v>13</v>
      </c>
      <c r="D968" t="s">
        <v>15</v>
      </c>
      <c r="E968" s="7">
        <v>2144.6775000000002</v>
      </c>
      <c r="F968" s="7">
        <v>1588.6499999999999</v>
      </c>
      <c r="G968" s="8">
        <f>Tabla1[[#This Row],[Ingresos]]-Tabla1[[#This Row],[Gastos]]</f>
        <v>556.02750000000037</v>
      </c>
      <c r="H968" s="13">
        <f>Tabla1[[#This Row],[Beneficio]]/Tabla1[[#This Row],[Ingresos]]</f>
        <v>0.25925925925925941</v>
      </c>
    </row>
    <row r="969" spans="1:8" x14ac:dyDescent="0.35">
      <c r="A969" s="2">
        <v>43739</v>
      </c>
      <c r="B969" t="s">
        <v>6</v>
      </c>
      <c r="C969" t="s">
        <v>43</v>
      </c>
      <c r="D969" t="s">
        <v>15</v>
      </c>
      <c r="E969" s="7">
        <v>3014.5499999999997</v>
      </c>
      <c r="F969" s="7">
        <v>2310</v>
      </c>
      <c r="G969" s="8">
        <f>Tabla1[[#This Row],[Ingresos]]-Tabla1[[#This Row],[Gastos]]</f>
        <v>704.54999999999973</v>
      </c>
      <c r="H969" s="13">
        <f>Tabla1[[#This Row],[Beneficio]]/Tabla1[[#This Row],[Ingresos]]</f>
        <v>0.23371647509578536</v>
      </c>
    </row>
    <row r="970" spans="1:8" x14ac:dyDescent="0.35">
      <c r="A970" s="2">
        <v>43739</v>
      </c>
      <c r="B970" t="s">
        <v>5</v>
      </c>
      <c r="C970" t="s">
        <v>13</v>
      </c>
      <c r="D970" t="s">
        <v>18</v>
      </c>
      <c r="E970" s="7">
        <v>6447.42</v>
      </c>
      <c r="F970" s="7">
        <v>5688.9</v>
      </c>
      <c r="G970" s="8">
        <f>Tabla1[[#This Row],[Ingresos]]-Tabla1[[#This Row],[Gastos]]</f>
        <v>758.52000000000044</v>
      </c>
      <c r="H970" s="13">
        <f>Tabla1[[#This Row],[Beneficio]]/Tabla1[[#This Row],[Ingresos]]</f>
        <v>0.11764705882352948</v>
      </c>
    </row>
    <row r="971" spans="1:8" x14ac:dyDescent="0.35">
      <c r="A971" s="2">
        <v>43740</v>
      </c>
      <c r="B971" t="s">
        <v>8</v>
      </c>
      <c r="C971" t="s">
        <v>12</v>
      </c>
      <c r="D971" t="s">
        <v>15</v>
      </c>
      <c r="E971" s="7">
        <v>14035.14</v>
      </c>
      <c r="F971" s="7">
        <v>9954</v>
      </c>
      <c r="G971" s="8">
        <f>Tabla1[[#This Row],[Ingresos]]-Tabla1[[#This Row],[Gastos]]</f>
        <v>4081.1399999999994</v>
      </c>
      <c r="H971" s="13">
        <f>Tabla1[[#This Row],[Beneficio]]/Tabla1[[#This Row],[Ingresos]]</f>
        <v>0.29078014184397161</v>
      </c>
    </row>
    <row r="972" spans="1:8" x14ac:dyDescent="0.35">
      <c r="A972" s="2">
        <v>43740</v>
      </c>
      <c r="B972" t="s">
        <v>7</v>
      </c>
      <c r="C972" t="s">
        <v>12</v>
      </c>
      <c r="D972" t="s">
        <v>16</v>
      </c>
      <c r="E972" s="7">
        <v>42546.706730769227</v>
      </c>
      <c r="F972" s="7">
        <v>39774</v>
      </c>
      <c r="G972" s="8">
        <f>Tabla1[[#This Row],[Ingresos]]-Tabla1[[#This Row],[Gastos]]</f>
        <v>2772.7067307692269</v>
      </c>
      <c r="H972" s="13">
        <f>Tabla1[[#This Row],[Beneficio]]/Tabla1[[#This Row],[Ingresos]]</f>
        <v>6.5168539325842614E-2</v>
      </c>
    </row>
    <row r="973" spans="1:8" x14ac:dyDescent="0.35">
      <c r="A973" s="2">
        <v>43741</v>
      </c>
      <c r="B973" t="s">
        <v>8</v>
      </c>
      <c r="C973" t="s">
        <v>12</v>
      </c>
      <c r="D973" t="s">
        <v>17</v>
      </c>
      <c r="E973" s="7">
        <v>11256.745499999999</v>
      </c>
      <c r="F973" s="7">
        <v>8121.7499999999991</v>
      </c>
      <c r="G973" s="8">
        <f>Tabla1[[#This Row],[Ingresos]]-Tabla1[[#This Row],[Gastos]]</f>
        <v>3134.9955</v>
      </c>
      <c r="H973" s="13">
        <f>Tabla1[[#This Row],[Beneficio]]/Tabla1[[#This Row],[Ingresos]]</f>
        <v>0.27849927849927852</v>
      </c>
    </row>
    <row r="974" spans="1:8" x14ac:dyDescent="0.35">
      <c r="A974" s="2">
        <v>43741</v>
      </c>
      <c r="B974" t="s">
        <v>7</v>
      </c>
      <c r="C974" t="s">
        <v>10</v>
      </c>
      <c r="D974" t="s">
        <v>19</v>
      </c>
      <c r="E974" s="7">
        <v>237635.99999999997</v>
      </c>
      <c r="F974" s="7">
        <v>215250</v>
      </c>
      <c r="G974" s="8">
        <f>Tabla1[[#This Row],[Ingresos]]-Tabla1[[#This Row],[Gastos]]</f>
        <v>22385.999999999971</v>
      </c>
      <c r="H974" s="13">
        <f>Tabla1[[#This Row],[Beneficio]]/Tabla1[[#This Row],[Ingresos]]</f>
        <v>9.4202898550724529E-2</v>
      </c>
    </row>
    <row r="975" spans="1:8" x14ac:dyDescent="0.35">
      <c r="A975" s="2">
        <v>43743</v>
      </c>
      <c r="B975" t="s">
        <v>9</v>
      </c>
      <c r="C975" t="s">
        <v>13</v>
      </c>
      <c r="D975" t="s">
        <v>16</v>
      </c>
      <c r="E975" s="7">
        <v>91067.307692307688</v>
      </c>
      <c r="F975" s="7">
        <v>75768</v>
      </c>
      <c r="G975" s="8">
        <f>Tabla1[[#This Row],[Ingresos]]-Tabla1[[#This Row],[Gastos]]</f>
        <v>15299.307692307688</v>
      </c>
      <c r="H975" s="13">
        <f>Tabla1[[#This Row],[Beneficio]]/Tabla1[[#This Row],[Ingresos]]</f>
        <v>0.16799999999999995</v>
      </c>
    </row>
    <row r="976" spans="1:8" x14ac:dyDescent="0.35">
      <c r="A976" s="2">
        <v>43743</v>
      </c>
      <c r="B976" t="s">
        <v>8</v>
      </c>
      <c r="C976" t="s">
        <v>10</v>
      </c>
      <c r="D976" t="s">
        <v>17</v>
      </c>
      <c r="E976" s="7">
        <v>7278.1799999999994</v>
      </c>
      <c r="F976" s="7">
        <v>3912.9999999999995</v>
      </c>
      <c r="G976" s="8">
        <f>Tabla1[[#This Row],[Ingresos]]-Tabla1[[#This Row],[Gastos]]</f>
        <v>3365.18</v>
      </c>
      <c r="H976" s="13">
        <f>Tabla1[[#This Row],[Beneficio]]/Tabla1[[#This Row],[Ingresos]]</f>
        <v>0.4623655913978495</v>
      </c>
    </row>
    <row r="977" spans="1:8" x14ac:dyDescent="0.35">
      <c r="A977" s="2">
        <v>43743</v>
      </c>
      <c r="B977" t="s">
        <v>6</v>
      </c>
      <c r="C977" t="s">
        <v>10</v>
      </c>
      <c r="D977" t="s">
        <v>17</v>
      </c>
      <c r="E977" s="7">
        <v>2769.0389999999993</v>
      </c>
      <c r="F977" s="7">
        <v>2173.5</v>
      </c>
      <c r="G977" s="8">
        <f>Tabla1[[#This Row],[Ingresos]]-Tabla1[[#This Row],[Gastos]]</f>
        <v>595.53899999999931</v>
      </c>
      <c r="H977" s="13">
        <f>Tabla1[[#This Row],[Beneficio]]/Tabla1[[#This Row],[Ingresos]]</f>
        <v>0.21507064364207201</v>
      </c>
    </row>
    <row r="978" spans="1:8" x14ac:dyDescent="0.35">
      <c r="A978" s="2">
        <v>43743</v>
      </c>
      <c r="B978" t="s">
        <v>6</v>
      </c>
      <c r="C978" t="s">
        <v>12</v>
      </c>
      <c r="D978" t="s">
        <v>17</v>
      </c>
      <c r="E978" s="7">
        <v>1976.366</v>
      </c>
      <c r="F978" s="7">
        <v>1641.5</v>
      </c>
      <c r="G978" s="8">
        <f>Tabla1[[#This Row],[Ingresos]]-Tabla1[[#This Row],[Gastos]]</f>
        <v>334.86599999999999</v>
      </c>
      <c r="H978" s="13">
        <f>Tabla1[[#This Row],[Beneficio]]/Tabla1[[#This Row],[Ingresos]]</f>
        <v>0.16943521594684385</v>
      </c>
    </row>
    <row r="979" spans="1:8" x14ac:dyDescent="0.35">
      <c r="A979" s="2">
        <v>43743</v>
      </c>
      <c r="B979" t="s">
        <v>8</v>
      </c>
      <c r="C979" t="s">
        <v>43</v>
      </c>
      <c r="D979" t="s">
        <v>17</v>
      </c>
      <c r="E979" s="7">
        <v>15655.163999999999</v>
      </c>
      <c r="F979" s="7">
        <v>9208.92</v>
      </c>
      <c r="G979" s="8">
        <f>Tabla1[[#This Row],[Ingresos]]-Tabla1[[#This Row],[Gastos]]</f>
        <v>6446.2439999999988</v>
      </c>
      <c r="H979" s="13">
        <f>Tabla1[[#This Row],[Beneficio]]/Tabla1[[#This Row],[Ingresos]]</f>
        <v>0.41176470588235287</v>
      </c>
    </row>
    <row r="980" spans="1:8" x14ac:dyDescent="0.35">
      <c r="A980" s="2">
        <v>43744</v>
      </c>
      <c r="B980" t="s">
        <v>6</v>
      </c>
      <c r="C980" t="s">
        <v>43</v>
      </c>
      <c r="D980" t="s">
        <v>16</v>
      </c>
      <c r="E980" s="7">
        <v>164925.21634615381</v>
      </c>
      <c r="F980" s="7">
        <v>147546</v>
      </c>
      <c r="G980" s="8">
        <f>Tabla1[[#This Row],[Ingresos]]-Tabla1[[#This Row],[Gastos]]</f>
        <v>17379.216346153815</v>
      </c>
      <c r="H980" s="13">
        <f>Tabla1[[#This Row],[Beneficio]]/Tabla1[[#This Row],[Ingresos]]</f>
        <v>0.10537634408602134</v>
      </c>
    </row>
    <row r="981" spans="1:8" x14ac:dyDescent="0.35">
      <c r="A981" s="2">
        <v>43745</v>
      </c>
      <c r="B981" t="s">
        <v>9</v>
      </c>
      <c r="C981" t="s">
        <v>13</v>
      </c>
      <c r="D981" t="s">
        <v>16</v>
      </c>
      <c r="E981" s="7">
        <v>85305.9375</v>
      </c>
      <c r="F981" s="7">
        <v>77994</v>
      </c>
      <c r="G981" s="8">
        <f>Tabla1[[#This Row],[Ingresos]]-Tabla1[[#This Row],[Gastos]]</f>
        <v>7311.9375</v>
      </c>
      <c r="H981" s="13">
        <f>Tabla1[[#This Row],[Beneficio]]/Tabla1[[#This Row],[Ingresos]]</f>
        <v>8.5714285714285715E-2</v>
      </c>
    </row>
    <row r="982" spans="1:8" x14ac:dyDescent="0.35">
      <c r="A982" s="2">
        <v>43745</v>
      </c>
      <c r="B982" t="s">
        <v>6</v>
      </c>
      <c r="C982" t="s">
        <v>13</v>
      </c>
      <c r="D982" t="s">
        <v>16</v>
      </c>
      <c r="E982" s="7">
        <v>118728.24519230769</v>
      </c>
      <c r="F982" s="7">
        <v>116213.99999999999</v>
      </c>
      <c r="G982" s="8">
        <f>Tabla1[[#This Row],[Ingresos]]-Tabla1[[#This Row],[Gastos]]</f>
        <v>2514.2451923077024</v>
      </c>
      <c r="H982" s="13">
        <f>Tabla1[[#This Row],[Beneficio]]/Tabla1[[#This Row],[Ingresos]]</f>
        <v>2.117647058823538E-2</v>
      </c>
    </row>
    <row r="983" spans="1:8" x14ac:dyDescent="0.35">
      <c r="A983" s="2">
        <v>43745</v>
      </c>
      <c r="B983" t="s">
        <v>5</v>
      </c>
      <c r="C983" t="s">
        <v>12</v>
      </c>
      <c r="D983" t="s">
        <v>17</v>
      </c>
      <c r="E983" s="7">
        <v>3443.0094999999997</v>
      </c>
      <c r="F983" s="7">
        <v>2763.25</v>
      </c>
      <c r="G983" s="8">
        <f>Tabla1[[#This Row],[Ingresos]]-Tabla1[[#This Row],[Gastos]]</f>
        <v>679.75949999999966</v>
      </c>
      <c r="H983" s="13">
        <f>Tabla1[[#This Row],[Beneficio]]/Tabla1[[#This Row],[Ingresos]]</f>
        <v>0.19743178170144454</v>
      </c>
    </row>
    <row r="984" spans="1:8" x14ac:dyDescent="0.35">
      <c r="A984" s="2">
        <v>43745</v>
      </c>
      <c r="B984" t="s">
        <v>8</v>
      </c>
      <c r="C984" t="s">
        <v>13</v>
      </c>
      <c r="D984" t="s">
        <v>17</v>
      </c>
      <c r="E984" s="7">
        <v>30729.896399999991</v>
      </c>
      <c r="F984" s="7">
        <v>17660.859999999997</v>
      </c>
      <c r="G984" s="8">
        <f>Tabla1[[#This Row],[Ingresos]]-Tabla1[[#This Row],[Gastos]]</f>
        <v>13069.036399999994</v>
      </c>
      <c r="H984" s="13">
        <f>Tabla1[[#This Row],[Beneficio]]/Tabla1[[#This Row],[Ingresos]]</f>
        <v>0.42528735632183901</v>
      </c>
    </row>
    <row r="985" spans="1:8" x14ac:dyDescent="0.35">
      <c r="A985" s="2">
        <v>43746</v>
      </c>
      <c r="B985" t="s">
        <v>6</v>
      </c>
      <c r="C985" t="s">
        <v>10</v>
      </c>
      <c r="D985" t="s">
        <v>18</v>
      </c>
      <c r="E985" s="7">
        <v>5698.8052799999996</v>
      </c>
      <c r="F985" s="7">
        <v>4802.3639999999996</v>
      </c>
      <c r="G985" s="8">
        <f>Tabla1[[#This Row],[Ingresos]]-Tabla1[[#This Row],[Gastos]]</f>
        <v>896.44128000000001</v>
      </c>
      <c r="H985" s="13">
        <f>Tabla1[[#This Row],[Beneficio]]/Tabla1[[#This Row],[Ingresos]]</f>
        <v>0.15730337078651688</v>
      </c>
    </row>
    <row r="986" spans="1:8" x14ac:dyDescent="0.35">
      <c r="A986" s="2">
        <v>43747</v>
      </c>
      <c r="B986" t="s">
        <v>5</v>
      </c>
      <c r="C986" t="s">
        <v>10</v>
      </c>
      <c r="D986" t="s">
        <v>17</v>
      </c>
      <c r="E986" s="7">
        <v>7353.15</v>
      </c>
      <c r="F986" s="7">
        <v>3911.2499999999995</v>
      </c>
      <c r="G986" s="8">
        <f>Tabla1[[#This Row],[Ingresos]]-Tabla1[[#This Row],[Gastos]]</f>
        <v>3441.9</v>
      </c>
      <c r="H986" s="13">
        <f>Tabla1[[#This Row],[Beneficio]]/Tabla1[[#This Row],[Ingresos]]</f>
        <v>0.46808510638297873</v>
      </c>
    </row>
    <row r="987" spans="1:8" x14ac:dyDescent="0.35">
      <c r="A987" s="2">
        <v>43750</v>
      </c>
      <c r="B987" t="s">
        <v>8</v>
      </c>
      <c r="C987" t="s">
        <v>12</v>
      </c>
      <c r="D987" t="s">
        <v>18</v>
      </c>
      <c r="E987" s="7">
        <v>30069.039000000001</v>
      </c>
      <c r="F987" s="7">
        <v>23738.714999999997</v>
      </c>
      <c r="G987" s="8">
        <f>Tabla1[[#This Row],[Ingresos]]-Tabla1[[#This Row],[Gastos]]</f>
        <v>6330.3240000000042</v>
      </c>
      <c r="H987" s="13">
        <f>Tabla1[[#This Row],[Beneficio]]/Tabla1[[#This Row],[Ingresos]]</f>
        <v>0.21052631578947381</v>
      </c>
    </row>
    <row r="988" spans="1:8" x14ac:dyDescent="0.35">
      <c r="A988" s="2">
        <v>43752</v>
      </c>
      <c r="B988" t="s">
        <v>6</v>
      </c>
      <c r="C988" t="s">
        <v>12</v>
      </c>
      <c r="D988" t="s">
        <v>17</v>
      </c>
      <c r="E988" s="7">
        <v>274586.00400000002</v>
      </c>
      <c r="F988" s="7">
        <v>229188.96</v>
      </c>
      <c r="G988" s="8">
        <f>Tabla1[[#This Row],[Ingresos]]-Tabla1[[#This Row],[Gastos]]</f>
        <v>45397.044000000024</v>
      </c>
      <c r="H988" s="13">
        <f>Tabla1[[#This Row],[Beneficio]]/Tabla1[[#This Row],[Ingresos]]</f>
        <v>0.16532905296950248</v>
      </c>
    </row>
    <row r="989" spans="1:8" x14ac:dyDescent="0.35">
      <c r="A989" s="2">
        <v>43753</v>
      </c>
      <c r="B989" t="s">
        <v>9</v>
      </c>
      <c r="C989" t="s">
        <v>11</v>
      </c>
      <c r="D989" t="s">
        <v>17</v>
      </c>
      <c r="E989" s="7">
        <v>679503.82499999995</v>
      </c>
      <c r="F989" s="7">
        <v>509872.99999999994</v>
      </c>
      <c r="G989" s="8">
        <f>Tabla1[[#This Row],[Ingresos]]-Tabla1[[#This Row],[Gastos]]</f>
        <v>169630.82500000001</v>
      </c>
      <c r="H989" s="13">
        <f>Tabla1[[#This Row],[Beneficio]]/Tabla1[[#This Row],[Ingresos]]</f>
        <v>0.24963924963924966</v>
      </c>
    </row>
    <row r="990" spans="1:8" x14ac:dyDescent="0.35">
      <c r="A990" s="2">
        <v>43754</v>
      </c>
      <c r="B990" t="s">
        <v>9</v>
      </c>
      <c r="C990" t="s">
        <v>10</v>
      </c>
      <c r="D990" t="s">
        <v>18</v>
      </c>
      <c r="E990" s="7">
        <v>6790.5809999999992</v>
      </c>
      <c r="F990" s="7">
        <v>5476.2749999999996</v>
      </c>
      <c r="G990" s="8">
        <f>Tabla1[[#This Row],[Ingresos]]-Tabla1[[#This Row],[Gastos]]</f>
        <v>1314.3059999999996</v>
      </c>
      <c r="H990" s="13">
        <f>Tabla1[[#This Row],[Beneficio]]/Tabla1[[#This Row],[Ingresos]]</f>
        <v>0.19354838709677416</v>
      </c>
    </row>
    <row r="991" spans="1:8" x14ac:dyDescent="0.35">
      <c r="A991" s="2">
        <v>43754</v>
      </c>
      <c r="B991" t="s">
        <v>8</v>
      </c>
      <c r="C991" t="s">
        <v>43</v>
      </c>
      <c r="D991" t="s">
        <v>18</v>
      </c>
      <c r="E991" s="7">
        <v>19101.556320000003</v>
      </c>
      <c r="F991" s="7">
        <v>16658.333999999999</v>
      </c>
      <c r="G991" s="8">
        <f>Tabla1[[#This Row],[Ingresos]]-Tabla1[[#This Row],[Gastos]]</f>
        <v>2443.2223200000044</v>
      </c>
      <c r="H991" s="13">
        <f>Tabla1[[#This Row],[Beneficio]]/Tabla1[[#This Row],[Ingresos]]</f>
        <v>0.12790697674418625</v>
      </c>
    </row>
    <row r="992" spans="1:8" x14ac:dyDescent="0.35">
      <c r="A992" s="2">
        <v>43755</v>
      </c>
      <c r="B992" t="s">
        <v>5</v>
      </c>
      <c r="C992" t="s">
        <v>10</v>
      </c>
      <c r="D992" t="s">
        <v>17</v>
      </c>
      <c r="E992" s="7">
        <v>8412.25</v>
      </c>
      <c r="F992" s="7">
        <v>4427.5</v>
      </c>
      <c r="G992" s="8">
        <f>Tabla1[[#This Row],[Ingresos]]-Tabla1[[#This Row],[Gastos]]</f>
        <v>3984.75</v>
      </c>
      <c r="H992" s="13">
        <f>Tabla1[[#This Row],[Beneficio]]/Tabla1[[#This Row],[Ingresos]]</f>
        <v>0.47368421052631576</v>
      </c>
    </row>
    <row r="993" spans="1:8" x14ac:dyDescent="0.35">
      <c r="A993" s="2">
        <v>43756</v>
      </c>
      <c r="B993" t="s">
        <v>6</v>
      </c>
      <c r="C993" t="s">
        <v>11</v>
      </c>
      <c r="D993" t="s">
        <v>17</v>
      </c>
      <c r="E993" s="7">
        <v>356068.3</v>
      </c>
      <c r="F993" s="7">
        <v>269906</v>
      </c>
      <c r="G993" s="8">
        <f>Tabla1[[#This Row],[Ingresos]]-Tabla1[[#This Row],[Gastos]]</f>
        <v>86162.299999999988</v>
      </c>
      <c r="H993" s="13">
        <f>Tabla1[[#This Row],[Beneficio]]/Tabla1[[#This Row],[Ingresos]]</f>
        <v>0.24198250728862972</v>
      </c>
    </row>
    <row r="994" spans="1:8" x14ac:dyDescent="0.35">
      <c r="A994" s="2">
        <v>43757</v>
      </c>
      <c r="B994" t="s">
        <v>5</v>
      </c>
      <c r="C994" t="s">
        <v>43</v>
      </c>
      <c r="D994" t="s">
        <v>16</v>
      </c>
      <c r="E994" s="7">
        <v>33134.0625</v>
      </c>
      <c r="F994" s="7">
        <v>27846</v>
      </c>
      <c r="G994" s="8">
        <f>Tabla1[[#This Row],[Ingresos]]-Tabla1[[#This Row],[Gastos]]</f>
        <v>5288.0625</v>
      </c>
      <c r="H994" s="13">
        <f>Tabla1[[#This Row],[Beneficio]]/Tabla1[[#This Row],[Ingresos]]</f>
        <v>0.1595959595959596</v>
      </c>
    </row>
    <row r="995" spans="1:8" x14ac:dyDescent="0.35">
      <c r="A995" s="2">
        <v>43757</v>
      </c>
      <c r="B995" t="s">
        <v>5</v>
      </c>
      <c r="C995" t="s">
        <v>11</v>
      </c>
      <c r="D995" t="s">
        <v>16</v>
      </c>
      <c r="E995" s="7">
        <v>36332.524038461532</v>
      </c>
      <c r="F995" s="7">
        <v>30533.999999999996</v>
      </c>
      <c r="G995" s="8">
        <f>Tabla1[[#This Row],[Ingresos]]-Tabla1[[#This Row],[Gastos]]</f>
        <v>5798.5240384615354</v>
      </c>
      <c r="H995" s="13">
        <f>Tabla1[[#This Row],[Beneficio]]/Tabla1[[#This Row],[Ingresos]]</f>
        <v>0.15959595959595954</v>
      </c>
    </row>
    <row r="996" spans="1:8" x14ac:dyDescent="0.35">
      <c r="A996" s="2">
        <v>43757</v>
      </c>
      <c r="B996" t="s">
        <v>7</v>
      </c>
      <c r="C996" t="s">
        <v>10</v>
      </c>
      <c r="D996" t="s">
        <v>16</v>
      </c>
      <c r="E996" s="7">
        <v>71521.153846153844</v>
      </c>
      <c r="F996" s="7">
        <v>64679.999999999993</v>
      </c>
      <c r="G996" s="8">
        <f>Tabla1[[#This Row],[Ingresos]]-Tabla1[[#This Row],[Gastos]]</f>
        <v>6841.1538461538512</v>
      </c>
      <c r="H996" s="13">
        <f>Tabla1[[#This Row],[Beneficio]]/Tabla1[[#This Row],[Ingresos]]</f>
        <v>9.5652173913043551E-2</v>
      </c>
    </row>
    <row r="997" spans="1:8" x14ac:dyDescent="0.35">
      <c r="A997" s="2">
        <v>43757</v>
      </c>
      <c r="B997" t="s">
        <v>7</v>
      </c>
      <c r="C997" t="s">
        <v>12</v>
      </c>
      <c r="D997" t="s">
        <v>16</v>
      </c>
      <c r="E997" s="7">
        <v>24890.048076923074</v>
      </c>
      <c r="F997" s="7">
        <v>23268</v>
      </c>
      <c r="G997" s="8">
        <f>Tabla1[[#This Row],[Ingresos]]-Tabla1[[#This Row],[Gastos]]</f>
        <v>1622.0480769230744</v>
      </c>
      <c r="H997" s="13">
        <f>Tabla1[[#This Row],[Beneficio]]/Tabla1[[#This Row],[Ingresos]]</f>
        <v>6.51685393258426E-2</v>
      </c>
    </row>
    <row r="998" spans="1:8" x14ac:dyDescent="0.35">
      <c r="A998" s="2">
        <v>43757</v>
      </c>
      <c r="B998" t="s">
        <v>5</v>
      </c>
      <c r="C998" t="s">
        <v>12</v>
      </c>
      <c r="D998" t="s">
        <v>17</v>
      </c>
      <c r="E998" s="7">
        <v>135978.52799999999</v>
      </c>
      <c r="F998" s="7">
        <v>105221.48</v>
      </c>
      <c r="G998" s="8">
        <f>Tabla1[[#This Row],[Ingresos]]-Tabla1[[#This Row],[Gastos]]</f>
        <v>30757.047999999995</v>
      </c>
      <c r="H998" s="13">
        <f>Tabla1[[#This Row],[Beneficio]]/Tabla1[[#This Row],[Ingresos]]</f>
        <v>0.22619047619047616</v>
      </c>
    </row>
    <row r="999" spans="1:8" x14ac:dyDescent="0.35">
      <c r="A999" s="2">
        <v>43757</v>
      </c>
      <c r="B999" t="s">
        <v>8</v>
      </c>
      <c r="C999" t="s">
        <v>43</v>
      </c>
      <c r="D999" t="s">
        <v>19</v>
      </c>
      <c r="E999" s="7">
        <v>197156.4</v>
      </c>
      <c r="F999" s="7">
        <v>167650</v>
      </c>
      <c r="G999" s="8">
        <f>Tabla1[[#This Row],[Ingresos]]-Tabla1[[#This Row],[Gastos]]</f>
        <v>29506.399999999994</v>
      </c>
      <c r="H999" s="13">
        <f>Tabla1[[#This Row],[Beneficio]]/Tabla1[[#This Row],[Ingresos]]</f>
        <v>0.1496598639455782</v>
      </c>
    </row>
    <row r="1000" spans="1:8" x14ac:dyDescent="0.35">
      <c r="A1000" s="2">
        <v>43760</v>
      </c>
      <c r="B1000" t="s">
        <v>9</v>
      </c>
      <c r="C1000" t="s">
        <v>43</v>
      </c>
      <c r="D1000" t="s">
        <v>17</v>
      </c>
      <c r="E1000" s="7">
        <v>11616.93225</v>
      </c>
      <c r="F1000" s="7">
        <v>8381.625</v>
      </c>
      <c r="G1000" s="8">
        <f>Tabla1[[#This Row],[Ingresos]]-Tabla1[[#This Row],[Gastos]]</f>
        <v>3235.3072499999998</v>
      </c>
      <c r="H1000" s="13">
        <f>Tabla1[[#This Row],[Beneficio]]/Tabla1[[#This Row],[Ingresos]]</f>
        <v>0.27849927849927847</v>
      </c>
    </row>
    <row r="1001" spans="1:8" x14ac:dyDescent="0.35">
      <c r="A1001" s="2">
        <v>43761</v>
      </c>
      <c r="B1001" t="s">
        <v>6</v>
      </c>
      <c r="C1001" t="s">
        <v>10</v>
      </c>
      <c r="D1001" t="s">
        <v>18</v>
      </c>
      <c r="E1001" s="7">
        <v>2558.7240000000002</v>
      </c>
      <c r="F1001" s="7">
        <v>1919.0430000000001</v>
      </c>
      <c r="G1001" s="8">
        <f>Tabla1[[#This Row],[Ingresos]]-Tabla1[[#This Row],[Gastos]]</f>
        <v>639.68100000000004</v>
      </c>
      <c r="H1001" s="13">
        <f>Tabla1[[#This Row],[Beneficio]]/Tabla1[[#This Row],[Ingresos]]</f>
        <v>0.25</v>
      </c>
    </row>
    <row r="1002" spans="1:8" x14ac:dyDescent="0.35">
      <c r="A1002" s="2">
        <v>43763</v>
      </c>
      <c r="B1002" t="s">
        <v>6</v>
      </c>
      <c r="C1002" t="s">
        <v>13</v>
      </c>
      <c r="D1002" t="s">
        <v>16</v>
      </c>
      <c r="E1002" s="7">
        <v>97978.629807692298</v>
      </c>
      <c r="F1002" s="7">
        <v>87654</v>
      </c>
      <c r="G1002" s="8">
        <f>Tabla1[[#This Row],[Ingresos]]-Tabla1[[#This Row],[Gastos]]</f>
        <v>10324.629807692298</v>
      </c>
      <c r="H1002" s="13">
        <f>Tabla1[[#This Row],[Beneficio]]/Tabla1[[#This Row],[Ingresos]]</f>
        <v>0.10537634408602141</v>
      </c>
    </row>
    <row r="1003" spans="1:8" x14ac:dyDescent="0.35">
      <c r="A1003" s="2">
        <v>43763</v>
      </c>
      <c r="B1003" t="s">
        <v>5</v>
      </c>
      <c r="C1003" t="s">
        <v>13</v>
      </c>
      <c r="D1003" t="s">
        <v>17</v>
      </c>
      <c r="E1003" s="7">
        <v>208978.875</v>
      </c>
      <c r="F1003" s="7">
        <v>182637</v>
      </c>
      <c r="G1003" s="8">
        <f>Tabla1[[#This Row],[Ingresos]]-Tabla1[[#This Row],[Gastos]]</f>
        <v>26341.875</v>
      </c>
      <c r="H1003" s="13">
        <f>Tabla1[[#This Row],[Beneficio]]/Tabla1[[#This Row],[Ingresos]]</f>
        <v>0.12605042016806722</v>
      </c>
    </row>
    <row r="1004" spans="1:8" x14ac:dyDescent="0.35">
      <c r="A1004" s="2">
        <v>43763</v>
      </c>
      <c r="B1004" t="s">
        <v>6</v>
      </c>
      <c r="C1004" t="s">
        <v>13</v>
      </c>
      <c r="D1004" t="s">
        <v>17</v>
      </c>
      <c r="E1004" s="7">
        <v>9684.2852750000002</v>
      </c>
      <c r="F1004" s="7">
        <v>7281.4174999999996</v>
      </c>
      <c r="G1004" s="8">
        <f>Tabla1[[#This Row],[Ingresos]]-Tabla1[[#This Row],[Gastos]]</f>
        <v>2402.8677750000006</v>
      </c>
      <c r="H1004" s="13">
        <f>Tabla1[[#This Row],[Beneficio]]/Tabla1[[#This Row],[Ingresos]]</f>
        <v>0.24812030075187977</v>
      </c>
    </row>
    <row r="1005" spans="1:8" x14ac:dyDescent="0.35">
      <c r="A1005" s="2">
        <v>43765</v>
      </c>
      <c r="B1005" t="s">
        <v>9</v>
      </c>
      <c r="C1005" t="s">
        <v>11</v>
      </c>
      <c r="D1005" t="s">
        <v>15</v>
      </c>
      <c r="E1005" s="7">
        <v>17622.359999999997</v>
      </c>
      <c r="F1005" s="7">
        <v>13053.599999999999</v>
      </c>
      <c r="G1005" s="8">
        <f>Tabla1[[#This Row],[Ingresos]]-Tabla1[[#This Row],[Gastos]]</f>
        <v>4568.7599999999984</v>
      </c>
      <c r="H1005" s="13">
        <f>Tabla1[[#This Row],[Beneficio]]/Tabla1[[#This Row],[Ingresos]]</f>
        <v>0.25925925925925919</v>
      </c>
    </row>
    <row r="1006" spans="1:8" x14ac:dyDescent="0.35">
      <c r="A1006" s="2">
        <v>43765</v>
      </c>
      <c r="B1006" t="s">
        <v>7</v>
      </c>
      <c r="C1006" t="s">
        <v>11</v>
      </c>
      <c r="D1006" t="s">
        <v>17</v>
      </c>
      <c r="E1006" s="7">
        <v>10790.779999999999</v>
      </c>
      <c r="F1006" s="7">
        <v>5929</v>
      </c>
      <c r="G1006" s="8">
        <f>Tabla1[[#This Row],[Ingresos]]-Tabla1[[#This Row],[Gastos]]</f>
        <v>4861.7799999999988</v>
      </c>
      <c r="H1006" s="13">
        <f>Tabla1[[#This Row],[Beneficio]]/Tabla1[[#This Row],[Ingresos]]</f>
        <v>0.4505494505494505</v>
      </c>
    </row>
    <row r="1007" spans="1:8" x14ac:dyDescent="0.35">
      <c r="A1007" s="2">
        <v>43765</v>
      </c>
      <c r="B1007" t="s">
        <v>6</v>
      </c>
      <c r="C1007" t="s">
        <v>12</v>
      </c>
      <c r="D1007" t="s">
        <v>18</v>
      </c>
      <c r="E1007" s="7">
        <v>11333.8449</v>
      </c>
      <c r="F1007" s="7">
        <v>9140.1975000000002</v>
      </c>
      <c r="G1007" s="8">
        <f>Tabla1[[#This Row],[Ingresos]]-Tabla1[[#This Row],[Gastos]]</f>
        <v>2193.6473999999998</v>
      </c>
      <c r="H1007" s="13">
        <f>Tabla1[[#This Row],[Beneficio]]/Tabla1[[#This Row],[Ingresos]]</f>
        <v>0.19354838709677419</v>
      </c>
    </row>
    <row r="1008" spans="1:8" x14ac:dyDescent="0.35">
      <c r="A1008" s="2">
        <v>43768</v>
      </c>
      <c r="B1008" t="s">
        <v>8</v>
      </c>
      <c r="C1008" t="s">
        <v>12</v>
      </c>
      <c r="D1008" t="s">
        <v>16</v>
      </c>
      <c r="E1008" s="7">
        <v>46127.8125</v>
      </c>
      <c r="F1008" s="7">
        <v>38766</v>
      </c>
      <c r="G1008" s="8">
        <f>Tabla1[[#This Row],[Ingresos]]-Tabla1[[#This Row],[Gastos]]</f>
        <v>7361.8125</v>
      </c>
      <c r="H1008" s="13">
        <f>Tabla1[[#This Row],[Beneficio]]/Tabla1[[#This Row],[Ingresos]]</f>
        <v>0.1595959595959596</v>
      </c>
    </row>
    <row r="1009" spans="1:8" x14ac:dyDescent="0.35">
      <c r="A1009" s="2">
        <v>43768</v>
      </c>
      <c r="B1009" t="s">
        <v>7</v>
      </c>
      <c r="C1009" t="s">
        <v>10</v>
      </c>
      <c r="D1009" t="s">
        <v>17</v>
      </c>
      <c r="E1009" s="7">
        <v>219324</v>
      </c>
      <c r="F1009" s="7">
        <v>169715</v>
      </c>
      <c r="G1009" s="8">
        <f>Tabla1[[#This Row],[Ingresos]]-Tabla1[[#This Row],[Gastos]]</f>
        <v>49609</v>
      </c>
      <c r="H1009" s="13">
        <f>Tabla1[[#This Row],[Beneficio]]/Tabla1[[#This Row],[Ingresos]]</f>
        <v>0.22619047619047619</v>
      </c>
    </row>
    <row r="1010" spans="1:8" x14ac:dyDescent="0.35">
      <c r="A1010" s="2">
        <v>43768</v>
      </c>
      <c r="B1010" t="s">
        <v>9</v>
      </c>
      <c r="C1010" t="s">
        <v>10</v>
      </c>
      <c r="D1010" t="s">
        <v>17</v>
      </c>
      <c r="E1010" s="7">
        <v>225706.25</v>
      </c>
      <c r="F1010" s="7">
        <v>167667.5</v>
      </c>
      <c r="G1010" s="8">
        <f>Tabla1[[#This Row],[Ingresos]]-Tabla1[[#This Row],[Gastos]]</f>
        <v>58038.75</v>
      </c>
      <c r="H1010" s="13">
        <f>Tabla1[[#This Row],[Beneficio]]/Tabla1[[#This Row],[Ingresos]]</f>
        <v>0.25714285714285712</v>
      </c>
    </row>
    <row r="1011" spans="1:8" x14ac:dyDescent="0.35">
      <c r="A1011" s="2">
        <v>43769</v>
      </c>
      <c r="B1011" t="s">
        <v>7</v>
      </c>
      <c r="C1011" t="s">
        <v>11</v>
      </c>
      <c r="D1011" t="s">
        <v>15</v>
      </c>
      <c r="E1011" s="7">
        <v>14269.237499999999</v>
      </c>
      <c r="F1011" s="7">
        <v>10013.5</v>
      </c>
      <c r="G1011" s="8">
        <f>Tabla1[[#This Row],[Ingresos]]-Tabla1[[#This Row],[Gastos]]</f>
        <v>4255.7374999999993</v>
      </c>
      <c r="H1011" s="13">
        <f>Tabla1[[#This Row],[Beneficio]]/Tabla1[[#This Row],[Ingresos]]</f>
        <v>0.2982456140350877</v>
      </c>
    </row>
    <row r="1012" spans="1:8" x14ac:dyDescent="0.35">
      <c r="A1012" s="2">
        <v>43769</v>
      </c>
      <c r="B1012" t="s">
        <v>5</v>
      </c>
      <c r="C1012" t="s">
        <v>11</v>
      </c>
      <c r="D1012" t="s">
        <v>17</v>
      </c>
      <c r="E1012" s="7">
        <v>9090.1036799999983</v>
      </c>
      <c r="F1012" s="7">
        <v>7549.92</v>
      </c>
      <c r="G1012" s="8">
        <f>Tabla1[[#This Row],[Ingresos]]-Tabla1[[#This Row],[Gastos]]</f>
        <v>1540.1836799999983</v>
      </c>
      <c r="H1012" s="13">
        <f>Tabla1[[#This Row],[Beneficio]]/Tabla1[[#This Row],[Ingresos]]</f>
        <v>0.16943521594684369</v>
      </c>
    </row>
    <row r="1013" spans="1:8" x14ac:dyDescent="0.35">
      <c r="A1013" s="2">
        <v>43769</v>
      </c>
      <c r="B1013" t="s">
        <v>6</v>
      </c>
      <c r="C1013" t="s">
        <v>11</v>
      </c>
      <c r="D1013" t="s">
        <v>18</v>
      </c>
      <c r="E1013" s="7">
        <v>4452.8399999999992</v>
      </c>
      <c r="F1013" s="7">
        <v>3515.3999999999996</v>
      </c>
      <c r="G1013" s="8">
        <f>Tabla1[[#This Row],[Ingresos]]-Tabla1[[#This Row],[Gastos]]</f>
        <v>937.4399999999996</v>
      </c>
      <c r="H1013" s="13">
        <f>Tabla1[[#This Row],[Beneficio]]/Tabla1[[#This Row],[Ingresos]]</f>
        <v>0.21052631578947362</v>
      </c>
    </row>
    <row r="1014" spans="1:8" x14ac:dyDescent="0.35">
      <c r="A1014" s="2">
        <v>43769</v>
      </c>
      <c r="B1014" t="s">
        <v>8</v>
      </c>
      <c r="C1014" t="s">
        <v>12</v>
      </c>
      <c r="D1014" t="s">
        <v>18</v>
      </c>
      <c r="E1014" s="7">
        <v>8870.8619999999992</v>
      </c>
      <c r="F1014" s="7">
        <v>7311.15</v>
      </c>
      <c r="G1014" s="8">
        <f>Tabla1[[#This Row],[Ingresos]]-Tabla1[[#This Row],[Gastos]]</f>
        <v>1559.7119999999995</v>
      </c>
      <c r="H1014" s="13">
        <f>Tabla1[[#This Row],[Beneficio]]/Tabla1[[#This Row],[Ingresos]]</f>
        <v>0.17582417582417578</v>
      </c>
    </row>
    <row r="1015" spans="1:8" x14ac:dyDescent="0.35">
      <c r="A1015" s="2">
        <v>43770</v>
      </c>
      <c r="B1015" t="s">
        <v>9</v>
      </c>
      <c r="C1015" t="s">
        <v>10</v>
      </c>
      <c r="D1015" t="s">
        <v>17</v>
      </c>
      <c r="E1015" s="7">
        <v>15532.439999999997</v>
      </c>
      <c r="F1015" s="7">
        <v>8825.25</v>
      </c>
      <c r="G1015" s="8">
        <f>Tabla1[[#This Row],[Ingresos]]-Tabla1[[#This Row],[Gastos]]</f>
        <v>6707.1899999999969</v>
      </c>
      <c r="H1015" s="13">
        <f>Tabla1[[#This Row],[Beneficio]]/Tabla1[[#This Row],[Ingresos]]</f>
        <v>0.43181818181818171</v>
      </c>
    </row>
    <row r="1016" spans="1:8" x14ac:dyDescent="0.35">
      <c r="A1016" s="2">
        <v>43771</v>
      </c>
      <c r="B1016" t="s">
        <v>9</v>
      </c>
      <c r="C1016" t="s">
        <v>13</v>
      </c>
      <c r="D1016" t="s">
        <v>16</v>
      </c>
      <c r="E1016" s="7">
        <v>11040.689423076921</v>
      </c>
      <c r="F1016" s="7">
        <v>6903.75</v>
      </c>
      <c r="G1016" s="8">
        <f>Tabla1[[#This Row],[Ingresos]]-Tabla1[[#This Row],[Gastos]]</f>
        <v>4136.9394230769212</v>
      </c>
      <c r="H1016" s="13">
        <f>Tabla1[[#This Row],[Beneficio]]/Tabla1[[#This Row],[Ingresos]]</f>
        <v>0.37469937469937459</v>
      </c>
    </row>
    <row r="1017" spans="1:8" x14ac:dyDescent="0.35">
      <c r="A1017" s="2">
        <v>43772</v>
      </c>
      <c r="B1017" t="s">
        <v>9</v>
      </c>
      <c r="C1017" t="s">
        <v>10</v>
      </c>
      <c r="D1017" t="s">
        <v>16</v>
      </c>
      <c r="E1017" s="7">
        <v>388701.92307692301</v>
      </c>
      <c r="F1017" s="7">
        <v>250249.99999999997</v>
      </c>
      <c r="G1017" s="8">
        <f>Tabla1[[#This Row],[Ingresos]]-Tabla1[[#This Row],[Gastos]]</f>
        <v>138451.92307692303</v>
      </c>
      <c r="H1017" s="13">
        <f>Tabla1[[#This Row],[Beneficio]]/Tabla1[[#This Row],[Ingresos]]</f>
        <v>0.35619047619047617</v>
      </c>
    </row>
    <row r="1018" spans="1:8" x14ac:dyDescent="0.35">
      <c r="A1018" s="2">
        <v>43772</v>
      </c>
      <c r="B1018" t="s">
        <v>6</v>
      </c>
      <c r="C1018" t="s">
        <v>43</v>
      </c>
      <c r="D1018" t="s">
        <v>19</v>
      </c>
      <c r="E1018" s="7">
        <v>73719.45</v>
      </c>
      <c r="F1018" s="7">
        <v>70612.5</v>
      </c>
      <c r="G1018" s="8">
        <f>Tabla1[[#This Row],[Ingresos]]-Tabla1[[#This Row],[Gastos]]</f>
        <v>3106.9499999999971</v>
      </c>
      <c r="H1018" s="13">
        <f>Tabla1[[#This Row],[Beneficio]]/Tabla1[[#This Row],[Ingresos]]</f>
        <v>4.2145593869731761E-2</v>
      </c>
    </row>
    <row r="1019" spans="1:8" x14ac:dyDescent="0.35">
      <c r="A1019" s="2">
        <v>43774</v>
      </c>
      <c r="B1019" t="s">
        <v>5</v>
      </c>
      <c r="C1019" t="s">
        <v>12</v>
      </c>
      <c r="D1019" t="s">
        <v>17</v>
      </c>
      <c r="E1019" s="7">
        <v>6552.3780000000006</v>
      </c>
      <c r="F1019" s="7">
        <v>5087.25</v>
      </c>
      <c r="G1019" s="8">
        <f>Tabla1[[#This Row],[Ingresos]]-Tabla1[[#This Row],[Gastos]]</f>
        <v>1465.1280000000006</v>
      </c>
      <c r="H1019" s="13">
        <f>Tabla1[[#This Row],[Beneficio]]/Tabla1[[#This Row],[Ingresos]]</f>
        <v>0.22360248447204975</v>
      </c>
    </row>
    <row r="1020" spans="1:8" x14ac:dyDescent="0.35">
      <c r="A1020" s="2">
        <v>43775</v>
      </c>
      <c r="B1020" t="s">
        <v>9</v>
      </c>
      <c r="C1020" t="s">
        <v>10</v>
      </c>
      <c r="D1020" t="s">
        <v>17</v>
      </c>
      <c r="E1020" s="7">
        <v>239051.4</v>
      </c>
      <c r="F1020" s="7">
        <v>188916</v>
      </c>
      <c r="G1020" s="8">
        <f>Tabla1[[#This Row],[Ingresos]]-Tabla1[[#This Row],[Gastos]]</f>
        <v>50135.399999999994</v>
      </c>
      <c r="H1020" s="13">
        <f>Tabla1[[#This Row],[Beneficio]]/Tabla1[[#This Row],[Ingresos]]</f>
        <v>0.20972644376899693</v>
      </c>
    </row>
    <row r="1021" spans="1:8" x14ac:dyDescent="0.35">
      <c r="A1021" s="2">
        <v>43777</v>
      </c>
      <c r="B1021" t="s">
        <v>6</v>
      </c>
      <c r="C1021" t="s">
        <v>43</v>
      </c>
      <c r="D1021" t="s">
        <v>16</v>
      </c>
      <c r="E1021" s="7">
        <v>84931.087499999994</v>
      </c>
      <c r="F1021" s="7">
        <v>75981.36</v>
      </c>
      <c r="G1021" s="8">
        <f>Tabla1[[#This Row],[Ingresos]]-Tabla1[[#This Row],[Gastos]]</f>
        <v>8949.7274999999936</v>
      </c>
      <c r="H1021" s="13">
        <f>Tabla1[[#This Row],[Beneficio]]/Tabla1[[#This Row],[Ingresos]]</f>
        <v>0.10537634408602144</v>
      </c>
    </row>
    <row r="1022" spans="1:8" x14ac:dyDescent="0.35">
      <c r="A1022" s="2">
        <v>43777</v>
      </c>
      <c r="B1022" t="s">
        <v>5</v>
      </c>
      <c r="C1022" t="s">
        <v>10</v>
      </c>
      <c r="D1022" t="s">
        <v>17</v>
      </c>
      <c r="E1022" s="7">
        <v>230864.72499999998</v>
      </c>
      <c r="F1022" s="7">
        <v>188461</v>
      </c>
      <c r="G1022" s="8">
        <f>Tabla1[[#This Row],[Ingresos]]-Tabla1[[#This Row],[Gastos]]</f>
        <v>42403.724999999977</v>
      </c>
      <c r="H1022" s="13">
        <f>Tabla1[[#This Row],[Beneficio]]/Tabla1[[#This Row],[Ingresos]]</f>
        <v>0.18367346938775503</v>
      </c>
    </row>
    <row r="1023" spans="1:8" x14ac:dyDescent="0.35">
      <c r="A1023" s="2">
        <v>43778</v>
      </c>
      <c r="B1023" t="s">
        <v>8</v>
      </c>
      <c r="C1023" t="s">
        <v>43</v>
      </c>
      <c r="D1023" t="s">
        <v>16</v>
      </c>
      <c r="E1023" s="7">
        <v>98373.389423076922</v>
      </c>
      <c r="F1023" s="7">
        <v>84378</v>
      </c>
      <c r="G1023" s="8">
        <f>Tabla1[[#This Row],[Ingresos]]-Tabla1[[#This Row],[Gastos]]</f>
        <v>13995.389423076922</v>
      </c>
      <c r="H1023" s="13">
        <f>Tabla1[[#This Row],[Beneficio]]/Tabla1[[#This Row],[Ingresos]]</f>
        <v>0.1422680412371134</v>
      </c>
    </row>
    <row r="1024" spans="1:8" x14ac:dyDescent="0.35">
      <c r="A1024" s="2">
        <v>43778</v>
      </c>
      <c r="B1024" t="s">
        <v>9</v>
      </c>
      <c r="C1024" t="s">
        <v>43</v>
      </c>
      <c r="D1024" t="s">
        <v>16</v>
      </c>
      <c r="E1024" s="7">
        <v>160864.12427884617</v>
      </c>
      <c r="F1024" s="7">
        <v>135190.86000000002</v>
      </c>
      <c r="G1024" s="8">
        <f>Tabla1[[#This Row],[Ingresos]]-Tabla1[[#This Row],[Gastos]]</f>
        <v>25673.264278846153</v>
      </c>
      <c r="H1024" s="13">
        <f>Tabla1[[#This Row],[Beneficio]]/Tabla1[[#This Row],[Ingresos]]</f>
        <v>0.15959595959595957</v>
      </c>
    </row>
    <row r="1025" spans="1:8" x14ac:dyDescent="0.35">
      <c r="A1025" s="2">
        <v>43779</v>
      </c>
      <c r="B1025" t="s">
        <v>8</v>
      </c>
      <c r="C1025" t="s">
        <v>11</v>
      </c>
      <c r="D1025" t="s">
        <v>17</v>
      </c>
      <c r="E1025" s="7">
        <v>14079.56004</v>
      </c>
      <c r="F1025" s="7">
        <v>11051.460000000001</v>
      </c>
      <c r="G1025" s="8">
        <f>Tabla1[[#This Row],[Ingresos]]-Tabla1[[#This Row],[Gastos]]</f>
        <v>3028.1000399999994</v>
      </c>
      <c r="H1025" s="13">
        <f>Tabla1[[#This Row],[Beneficio]]/Tabla1[[#This Row],[Ingresos]]</f>
        <v>0.21507064364207215</v>
      </c>
    </row>
    <row r="1026" spans="1:8" x14ac:dyDescent="0.35">
      <c r="A1026" s="2">
        <v>43781</v>
      </c>
      <c r="B1026" t="s">
        <v>8</v>
      </c>
      <c r="C1026" t="s">
        <v>43</v>
      </c>
      <c r="D1026" t="s">
        <v>15</v>
      </c>
      <c r="E1026" s="7">
        <v>27734.773499999999</v>
      </c>
      <c r="F1026" s="7">
        <v>21252.699999999997</v>
      </c>
      <c r="G1026" s="8">
        <f>Tabla1[[#This Row],[Ingresos]]-Tabla1[[#This Row],[Gastos]]</f>
        <v>6482.0735000000022</v>
      </c>
      <c r="H1026" s="13">
        <f>Tabla1[[#This Row],[Beneficio]]/Tabla1[[#This Row],[Ingresos]]</f>
        <v>0.23371647509578553</v>
      </c>
    </row>
    <row r="1027" spans="1:8" x14ac:dyDescent="0.35">
      <c r="A1027" s="2">
        <v>43782</v>
      </c>
      <c r="B1027" t="s">
        <v>9</v>
      </c>
      <c r="C1027" t="s">
        <v>43</v>
      </c>
      <c r="D1027" t="s">
        <v>17</v>
      </c>
      <c r="E1027" s="7">
        <v>12310.199999999999</v>
      </c>
      <c r="F1027" s="7">
        <v>6839</v>
      </c>
      <c r="G1027" s="8">
        <f>Tabla1[[#This Row],[Ingresos]]-Tabla1[[#This Row],[Gastos]]</f>
        <v>5471.1999999999989</v>
      </c>
      <c r="H1027" s="13">
        <f>Tabla1[[#This Row],[Beneficio]]/Tabla1[[#This Row],[Ingresos]]</f>
        <v>0.44444444444444442</v>
      </c>
    </row>
    <row r="1028" spans="1:8" x14ac:dyDescent="0.35">
      <c r="A1028" s="2">
        <v>43783</v>
      </c>
      <c r="B1028" t="s">
        <v>8</v>
      </c>
      <c r="C1028" t="s">
        <v>13</v>
      </c>
      <c r="D1028" t="s">
        <v>17</v>
      </c>
      <c r="E1028" s="7">
        <v>114422.96249999999</v>
      </c>
      <c r="F1028" s="7">
        <v>85858.5</v>
      </c>
      <c r="G1028" s="8">
        <f>Tabla1[[#This Row],[Ingresos]]-Tabla1[[#This Row],[Gastos]]</f>
        <v>28564.462499999994</v>
      </c>
      <c r="H1028" s="13">
        <f>Tabla1[[#This Row],[Beneficio]]/Tabla1[[#This Row],[Ingresos]]</f>
        <v>0.24963924963924961</v>
      </c>
    </row>
    <row r="1029" spans="1:8" x14ac:dyDescent="0.35">
      <c r="A1029" s="2">
        <v>43784</v>
      </c>
      <c r="B1029" t="s">
        <v>9</v>
      </c>
      <c r="C1029" t="s">
        <v>10</v>
      </c>
      <c r="D1029" t="s">
        <v>16</v>
      </c>
      <c r="E1029" s="7">
        <v>264088.97307692305</v>
      </c>
      <c r="F1029" s="7">
        <v>221941.44</v>
      </c>
      <c r="G1029" s="8">
        <f>Tabla1[[#This Row],[Ingresos]]-Tabla1[[#This Row],[Gastos]]</f>
        <v>42147.53307692305</v>
      </c>
      <c r="H1029" s="13">
        <f>Tabla1[[#This Row],[Beneficio]]/Tabla1[[#This Row],[Ingresos]]</f>
        <v>0.15959595959595951</v>
      </c>
    </row>
    <row r="1030" spans="1:8" x14ac:dyDescent="0.35">
      <c r="A1030" s="2">
        <v>43784</v>
      </c>
      <c r="B1030" t="s">
        <v>8</v>
      </c>
      <c r="C1030" t="s">
        <v>11</v>
      </c>
      <c r="D1030" t="s">
        <v>16</v>
      </c>
      <c r="E1030" s="7">
        <v>363168.2350961538</v>
      </c>
      <c r="F1030" s="7">
        <v>308322.42</v>
      </c>
      <c r="G1030" s="8">
        <f>Tabla1[[#This Row],[Ingresos]]-Tabla1[[#This Row],[Gastos]]</f>
        <v>54845.815096153819</v>
      </c>
      <c r="H1030" s="13">
        <f>Tabla1[[#This Row],[Beneficio]]/Tabla1[[#This Row],[Ingresos]]</f>
        <v>0.15102040816326526</v>
      </c>
    </row>
    <row r="1031" spans="1:8" x14ac:dyDescent="0.35">
      <c r="A1031" s="2">
        <v>43784</v>
      </c>
      <c r="B1031" t="s">
        <v>9</v>
      </c>
      <c r="C1031" t="s">
        <v>13</v>
      </c>
      <c r="D1031" t="s">
        <v>17</v>
      </c>
      <c r="E1031" s="7">
        <v>410258.18399999995</v>
      </c>
      <c r="F1031" s="7">
        <v>354375.83999999997</v>
      </c>
      <c r="G1031" s="8">
        <f>Tabla1[[#This Row],[Ingresos]]-Tabla1[[#This Row],[Gastos]]</f>
        <v>55882.343999999983</v>
      </c>
      <c r="H1031" s="13">
        <f>Tabla1[[#This Row],[Beneficio]]/Tabla1[[#This Row],[Ingresos]]</f>
        <v>0.13621262458471758</v>
      </c>
    </row>
    <row r="1032" spans="1:8" x14ac:dyDescent="0.35">
      <c r="A1032" s="2">
        <v>43785</v>
      </c>
      <c r="B1032" t="s">
        <v>6</v>
      </c>
      <c r="C1032" t="s">
        <v>12</v>
      </c>
      <c r="D1032" t="s">
        <v>17</v>
      </c>
      <c r="E1032" s="7">
        <v>145697.82499999998</v>
      </c>
      <c r="F1032" s="7">
        <v>118936.99999999999</v>
      </c>
      <c r="G1032" s="8">
        <f>Tabla1[[#This Row],[Ingresos]]-Tabla1[[#This Row],[Gastos]]</f>
        <v>26760.824999999997</v>
      </c>
      <c r="H1032" s="13">
        <f>Tabla1[[#This Row],[Beneficio]]/Tabla1[[#This Row],[Ingresos]]</f>
        <v>0.18367346938775511</v>
      </c>
    </row>
    <row r="1033" spans="1:8" x14ac:dyDescent="0.35">
      <c r="A1033" s="2">
        <v>43785</v>
      </c>
      <c r="B1033" t="s">
        <v>7</v>
      </c>
      <c r="C1033" t="s">
        <v>11</v>
      </c>
      <c r="D1033" t="s">
        <v>17</v>
      </c>
      <c r="E1033" s="7">
        <v>382208.52600000001</v>
      </c>
      <c r="F1033" s="7">
        <v>308615.58</v>
      </c>
      <c r="G1033" s="8">
        <f>Tabla1[[#This Row],[Ingresos]]-Tabla1[[#This Row],[Gastos]]</f>
        <v>73592.945999999996</v>
      </c>
      <c r="H1033" s="13">
        <f>Tabla1[[#This Row],[Beneficio]]/Tabla1[[#This Row],[Ingresos]]</f>
        <v>0.19254658385093165</v>
      </c>
    </row>
    <row r="1034" spans="1:8" x14ac:dyDescent="0.35">
      <c r="A1034" s="2">
        <v>43786</v>
      </c>
      <c r="B1034" t="s">
        <v>9</v>
      </c>
      <c r="C1034" t="s">
        <v>43</v>
      </c>
      <c r="D1034" t="s">
        <v>15</v>
      </c>
      <c r="E1034" s="7">
        <v>12611.025</v>
      </c>
      <c r="F1034" s="7">
        <v>9891</v>
      </c>
      <c r="G1034" s="8">
        <f>Tabla1[[#This Row],[Ingresos]]-Tabla1[[#This Row],[Gastos]]</f>
        <v>2720.0249999999996</v>
      </c>
      <c r="H1034" s="13">
        <f>Tabla1[[#This Row],[Beneficio]]/Tabla1[[#This Row],[Ingresos]]</f>
        <v>0.2156862745098039</v>
      </c>
    </row>
    <row r="1035" spans="1:8" x14ac:dyDescent="0.35">
      <c r="A1035" s="2">
        <v>43786</v>
      </c>
      <c r="B1035" t="s">
        <v>7</v>
      </c>
      <c r="C1035" t="s">
        <v>43</v>
      </c>
      <c r="D1035" t="s">
        <v>16</v>
      </c>
      <c r="E1035" s="7">
        <v>32749.903846153844</v>
      </c>
      <c r="F1035" s="7">
        <v>27804</v>
      </c>
      <c r="G1035" s="8">
        <f>Tabla1[[#This Row],[Ingresos]]-Tabla1[[#This Row],[Gastos]]</f>
        <v>4945.9038461538439</v>
      </c>
      <c r="H1035" s="13">
        <f>Tabla1[[#This Row],[Beneficio]]/Tabla1[[#This Row],[Ingresos]]</f>
        <v>0.15102040816326526</v>
      </c>
    </row>
    <row r="1036" spans="1:8" x14ac:dyDescent="0.35">
      <c r="A1036" s="2">
        <v>43787</v>
      </c>
      <c r="B1036" t="s">
        <v>6</v>
      </c>
      <c r="C1036" t="s">
        <v>12</v>
      </c>
      <c r="D1036" t="s">
        <v>18</v>
      </c>
      <c r="E1036" s="7">
        <v>15580.0008</v>
      </c>
      <c r="F1036" s="7">
        <v>12840.660000000002</v>
      </c>
      <c r="G1036" s="8">
        <f>Tabla1[[#This Row],[Ingresos]]-Tabla1[[#This Row],[Gastos]]</f>
        <v>2739.3407999999981</v>
      </c>
      <c r="H1036" s="13">
        <f>Tabla1[[#This Row],[Beneficio]]/Tabla1[[#This Row],[Ingresos]]</f>
        <v>0.1758241758241757</v>
      </c>
    </row>
    <row r="1037" spans="1:8" x14ac:dyDescent="0.35">
      <c r="A1037" s="2">
        <v>43788</v>
      </c>
      <c r="B1037" t="s">
        <v>9</v>
      </c>
      <c r="C1037" t="s">
        <v>12</v>
      </c>
      <c r="D1037" t="s">
        <v>19</v>
      </c>
      <c r="E1037" s="7">
        <v>43747.199999999997</v>
      </c>
      <c r="F1037" s="7">
        <v>39200</v>
      </c>
      <c r="G1037" s="8">
        <f>Tabla1[[#This Row],[Ingresos]]-Tabla1[[#This Row],[Gastos]]</f>
        <v>4547.1999999999971</v>
      </c>
      <c r="H1037" s="13">
        <f>Tabla1[[#This Row],[Beneficio]]/Tabla1[[#This Row],[Ingresos]]</f>
        <v>0.10394265232974904</v>
      </c>
    </row>
    <row r="1038" spans="1:8" x14ac:dyDescent="0.35">
      <c r="A1038" s="2">
        <v>43789</v>
      </c>
      <c r="B1038" t="s">
        <v>5</v>
      </c>
      <c r="C1038" t="s">
        <v>43</v>
      </c>
      <c r="D1038" t="s">
        <v>17</v>
      </c>
      <c r="E1038" s="7">
        <v>30630.056799999995</v>
      </c>
      <c r="F1038" s="7">
        <v>16646.77</v>
      </c>
      <c r="G1038" s="8">
        <f>Tabla1[[#This Row],[Ingresos]]-Tabla1[[#This Row],[Gastos]]</f>
        <v>13983.286799999994</v>
      </c>
      <c r="H1038" s="13">
        <f>Tabla1[[#This Row],[Beneficio]]/Tabla1[[#This Row],[Ingresos]]</f>
        <v>0.4565217391304347</v>
      </c>
    </row>
    <row r="1039" spans="1:8" x14ac:dyDescent="0.35">
      <c r="A1039" s="2">
        <v>43790</v>
      </c>
      <c r="B1039" t="s">
        <v>5</v>
      </c>
      <c r="C1039" t="s">
        <v>12</v>
      </c>
      <c r="D1039" t="s">
        <v>17</v>
      </c>
      <c r="E1039" s="7">
        <v>29105.999999999996</v>
      </c>
      <c r="F1039" s="7">
        <v>24570</v>
      </c>
      <c r="G1039" s="8">
        <f>Tabla1[[#This Row],[Ingresos]]-Tabla1[[#This Row],[Gastos]]</f>
        <v>4535.9999999999964</v>
      </c>
      <c r="H1039" s="13">
        <f>Tabla1[[#This Row],[Beneficio]]/Tabla1[[#This Row],[Ingresos]]</f>
        <v>0.15584415584415573</v>
      </c>
    </row>
    <row r="1040" spans="1:8" x14ac:dyDescent="0.35">
      <c r="A1040" s="2">
        <v>43790</v>
      </c>
      <c r="B1040" t="s">
        <v>8</v>
      </c>
      <c r="C1040" t="s">
        <v>13</v>
      </c>
      <c r="D1040" t="s">
        <v>17</v>
      </c>
      <c r="E1040" s="7">
        <v>740534.25600000005</v>
      </c>
      <c r="F1040" s="7">
        <v>632311.67999999993</v>
      </c>
      <c r="G1040" s="8">
        <f>Tabla1[[#This Row],[Ingresos]]-Tabla1[[#This Row],[Gastos]]</f>
        <v>108222.57600000012</v>
      </c>
      <c r="H1040" s="13">
        <f>Tabla1[[#This Row],[Beneficio]]/Tabla1[[#This Row],[Ingresos]]</f>
        <v>0.1461412151067325</v>
      </c>
    </row>
    <row r="1041" spans="1:8" x14ac:dyDescent="0.35">
      <c r="A1041" s="2">
        <v>43790</v>
      </c>
      <c r="B1041" t="s">
        <v>9</v>
      </c>
      <c r="C1041" t="s">
        <v>12</v>
      </c>
      <c r="D1041" t="s">
        <v>19</v>
      </c>
      <c r="E1041" s="7">
        <v>225855</v>
      </c>
      <c r="F1041" s="7">
        <v>188212.5</v>
      </c>
      <c r="G1041" s="8">
        <f>Tabla1[[#This Row],[Ingresos]]-Tabla1[[#This Row],[Gastos]]</f>
        <v>37642.5</v>
      </c>
      <c r="H1041" s="13">
        <f>Tabla1[[#This Row],[Beneficio]]/Tabla1[[#This Row],[Ingresos]]</f>
        <v>0.16666666666666666</v>
      </c>
    </row>
    <row r="1042" spans="1:8" x14ac:dyDescent="0.35">
      <c r="A1042" s="2">
        <v>43791</v>
      </c>
      <c r="B1042" t="s">
        <v>8</v>
      </c>
      <c r="C1042" t="s">
        <v>13</v>
      </c>
      <c r="D1042" t="s">
        <v>17</v>
      </c>
      <c r="E1042" s="7">
        <v>3475.8483200000001</v>
      </c>
      <c r="F1042" s="7">
        <v>2698.64</v>
      </c>
      <c r="G1042" s="8">
        <f>Tabla1[[#This Row],[Ingresos]]-Tabla1[[#This Row],[Gastos]]</f>
        <v>777.20832000000019</v>
      </c>
      <c r="H1042" s="13">
        <f>Tabla1[[#This Row],[Beneficio]]/Tabla1[[#This Row],[Ingresos]]</f>
        <v>0.22360248447204975</v>
      </c>
    </row>
    <row r="1043" spans="1:8" x14ac:dyDescent="0.35">
      <c r="A1043" s="2">
        <v>43792</v>
      </c>
      <c r="B1043" t="s">
        <v>8</v>
      </c>
      <c r="C1043" t="s">
        <v>43</v>
      </c>
      <c r="D1043" t="s">
        <v>16</v>
      </c>
      <c r="E1043" s="7">
        <v>114899.27884615383</v>
      </c>
      <c r="F1043" s="7">
        <v>106218</v>
      </c>
      <c r="G1043" s="8">
        <f>Tabla1[[#This Row],[Ingresos]]-Tabla1[[#This Row],[Gastos]]</f>
        <v>8681.2788461538294</v>
      </c>
      <c r="H1043" s="13">
        <f>Tabla1[[#This Row],[Beneficio]]/Tabla1[[#This Row],[Ingresos]]</f>
        <v>7.5555555555555418E-2</v>
      </c>
    </row>
    <row r="1044" spans="1:8" x14ac:dyDescent="0.35">
      <c r="A1044" s="2">
        <v>43792</v>
      </c>
      <c r="B1044" t="s">
        <v>5</v>
      </c>
      <c r="C1044" t="s">
        <v>43</v>
      </c>
      <c r="D1044" t="s">
        <v>17</v>
      </c>
      <c r="E1044" s="7">
        <v>1152244.7999999998</v>
      </c>
      <c r="F1044" s="7">
        <v>891618</v>
      </c>
      <c r="G1044" s="8">
        <f>Tabla1[[#This Row],[Ingresos]]-Tabla1[[#This Row],[Gastos]]</f>
        <v>260626.79999999981</v>
      </c>
      <c r="H1044" s="13">
        <f>Tabla1[[#This Row],[Beneficio]]/Tabla1[[#This Row],[Ingresos]]</f>
        <v>0.22619047619047605</v>
      </c>
    </row>
    <row r="1045" spans="1:8" x14ac:dyDescent="0.35">
      <c r="A1045" s="2">
        <v>43792</v>
      </c>
      <c r="B1045" t="s">
        <v>5</v>
      </c>
      <c r="C1045" t="s">
        <v>11</v>
      </c>
      <c r="D1045" t="s">
        <v>17</v>
      </c>
      <c r="E1045" s="7">
        <v>17766.344400000002</v>
      </c>
      <c r="F1045" s="7">
        <v>10329.27</v>
      </c>
      <c r="G1045" s="8">
        <f>Tabla1[[#This Row],[Ingresos]]-Tabla1[[#This Row],[Gastos]]</f>
        <v>7437.0744000000013</v>
      </c>
      <c r="H1045" s="13">
        <f>Tabla1[[#This Row],[Beneficio]]/Tabla1[[#This Row],[Ingresos]]</f>
        <v>0.41860465116279072</v>
      </c>
    </row>
    <row r="1046" spans="1:8" x14ac:dyDescent="0.35">
      <c r="A1046" s="2">
        <v>43792</v>
      </c>
      <c r="B1046" t="s">
        <v>6</v>
      </c>
      <c r="C1046" t="s">
        <v>12</v>
      </c>
      <c r="D1046" t="s">
        <v>19</v>
      </c>
      <c r="E1046" s="7">
        <v>26651.1</v>
      </c>
      <c r="F1046" s="7">
        <v>22662.5</v>
      </c>
      <c r="G1046" s="8">
        <f>Tabla1[[#This Row],[Ingresos]]-Tabla1[[#This Row],[Gastos]]</f>
        <v>3988.5999999999985</v>
      </c>
      <c r="H1046" s="13">
        <f>Tabla1[[#This Row],[Beneficio]]/Tabla1[[#This Row],[Ingresos]]</f>
        <v>0.14965986394557818</v>
      </c>
    </row>
    <row r="1047" spans="1:8" x14ac:dyDescent="0.35">
      <c r="A1047" s="2">
        <v>43793</v>
      </c>
      <c r="B1047" t="s">
        <v>9</v>
      </c>
      <c r="C1047" t="s">
        <v>43</v>
      </c>
      <c r="D1047" t="s">
        <v>16</v>
      </c>
      <c r="E1047" s="7">
        <v>97233.230769230751</v>
      </c>
      <c r="F1047" s="7">
        <v>85155.839999999997</v>
      </c>
      <c r="G1047" s="8">
        <f>Tabla1[[#This Row],[Ingresos]]-Tabla1[[#This Row],[Gastos]]</f>
        <v>12077.390769230755</v>
      </c>
      <c r="H1047" s="13">
        <f>Tabla1[[#This Row],[Beneficio]]/Tabla1[[#This Row],[Ingresos]]</f>
        <v>0.12421052631578935</v>
      </c>
    </row>
    <row r="1048" spans="1:8" x14ac:dyDescent="0.35">
      <c r="A1048" s="2">
        <v>43795</v>
      </c>
      <c r="B1048" t="s">
        <v>8</v>
      </c>
      <c r="C1048" t="s">
        <v>13</v>
      </c>
      <c r="D1048" t="s">
        <v>17</v>
      </c>
      <c r="E1048" s="7">
        <v>31776.998399999997</v>
      </c>
      <c r="F1048" s="7">
        <v>16550.52</v>
      </c>
      <c r="G1048" s="8">
        <f>Tabla1[[#This Row],[Ingresos]]-Tabla1[[#This Row],[Gastos]]</f>
        <v>15226.478399999996</v>
      </c>
      <c r="H1048" s="13">
        <f>Tabla1[[#This Row],[Beneficio]]/Tabla1[[#This Row],[Ingresos]]</f>
        <v>0.47916666666666657</v>
      </c>
    </row>
    <row r="1049" spans="1:8" x14ac:dyDescent="0.35">
      <c r="A1049" s="2">
        <v>43796</v>
      </c>
      <c r="B1049" t="s">
        <v>8</v>
      </c>
      <c r="C1049" t="s">
        <v>13</v>
      </c>
      <c r="D1049" t="s">
        <v>17</v>
      </c>
      <c r="E1049" s="7">
        <v>12024.788159999998</v>
      </c>
      <c r="F1049" s="7">
        <v>9760.3799999999992</v>
      </c>
      <c r="G1049" s="8">
        <f>Tabla1[[#This Row],[Ingresos]]-Tabla1[[#This Row],[Gastos]]</f>
        <v>2264.408159999999</v>
      </c>
      <c r="H1049" s="13">
        <f>Tabla1[[#This Row],[Beneficio]]/Tabla1[[#This Row],[Ingresos]]</f>
        <v>0.18831168831168826</v>
      </c>
    </row>
    <row r="1050" spans="1:8" x14ac:dyDescent="0.35">
      <c r="A1050" s="2">
        <v>43797</v>
      </c>
      <c r="B1050" t="s">
        <v>9</v>
      </c>
      <c r="C1050" t="s">
        <v>43</v>
      </c>
      <c r="D1050" t="s">
        <v>15</v>
      </c>
      <c r="E1050" s="7">
        <v>18757.935000000001</v>
      </c>
      <c r="F1050" s="7">
        <v>13303.5</v>
      </c>
      <c r="G1050" s="8">
        <f>Tabla1[[#This Row],[Ingresos]]-Tabla1[[#This Row],[Gastos]]</f>
        <v>5454.4350000000013</v>
      </c>
      <c r="H1050" s="13">
        <f>Tabla1[[#This Row],[Beneficio]]/Tabla1[[#This Row],[Ingresos]]</f>
        <v>0.29078014184397166</v>
      </c>
    </row>
    <row r="1051" spans="1:8" x14ac:dyDescent="0.35">
      <c r="A1051" s="2">
        <v>43797</v>
      </c>
      <c r="B1051" t="s">
        <v>8</v>
      </c>
      <c r="C1051" t="s">
        <v>43</v>
      </c>
      <c r="D1051" t="s">
        <v>16</v>
      </c>
      <c r="E1051" s="7">
        <v>59745.535096153842</v>
      </c>
      <c r="F1051" s="7">
        <v>57135.96</v>
      </c>
      <c r="G1051" s="8">
        <f>Tabla1[[#This Row],[Ingresos]]-Tabla1[[#This Row],[Gastos]]</f>
        <v>2609.5750961538433</v>
      </c>
      <c r="H1051" s="13">
        <f>Tabla1[[#This Row],[Beneficio]]/Tabla1[[#This Row],[Ingresos]]</f>
        <v>4.3678160919540188E-2</v>
      </c>
    </row>
    <row r="1052" spans="1:8" x14ac:dyDescent="0.35">
      <c r="A1052" s="2">
        <v>43797</v>
      </c>
      <c r="B1052" t="s">
        <v>5</v>
      </c>
      <c r="C1052" t="s">
        <v>13</v>
      </c>
      <c r="D1052" t="s">
        <v>16</v>
      </c>
      <c r="E1052" s="7">
        <v>430998.54807692301</v>
      </c>
      <c r="F1052" s="7">
        <v>421871.51999999996</v>
      </c>
      <c r="G1052" s="8">
        <f>Tabla1[[#This Row],[Ingresos]]-Tabla1[[#This Row],[Gastos]]</f>
        <v>9127.0280769230449</v>
      </c>
      <c r="H1052" s="13">
        <f>Tabla1[[#This Row],[Beneficio]]/Tabla1[[#This Row],[Ingresos]]</f>
        <v>2.1176470588235224E-2</v>
      </c>
    </row>
    <row r="1053" spans="1:8" x14ac:dyDescent="0.35">
      <c r="A1053" s="2">
        <v>43797</v>
      </c>
      <c r="B1053" t="s">
        <v>5</v>
      </c>
      <c r="C1053" t="s">
        <v>10</v>
      </c>
      <c r="D1053" t="s">
        <v>17</v>
      </c>
      <c r="E1053" s="7">
        <v>16083.689999999999</v>
      </c>
      <c r="F1053" s="7">
        <v>9243.5</v>
      </c>
      <c r="G1053" s="8">
        <f>Tabla1[[#This Row],[Ingresos]]-Tabla1[[#This Row],[Gastos]]</f>
        <v>6840.1899999999987</v>
      </c>
      <c r="H1053" s="13">
        <f>Tabla1[[#This Row],[Beneficio]]/Tabla1[[#This Row],[Ingresos]]</f>
        <v>0.42528735632183906</v>
      </c>
    </row>
    <row r="1054" spans="1:8" x14ac:dyDescent="0.35">
      <c r="A1054" s="2">
        <v>43797</v>
      </c>
      <c r="B1054" t="s">
        <v>8</v>
      </c>
      <c r="C1054" t="s">
        <v>43</v>
      </c>
      <c r="D1054" t="s">
        <v>19</v>
      </c>
      <c r="E1054" s="7">
        <v>674274.88799999992</v>
      </c>
      <c r="F1054" s="7">
        <v>573363</v>
      </c>
      <c r="G1054" s="8">
        <f>Tabla1[[#This Row],[Ingresos]]-Tabla1[[#This Row],[Gastos]]</f>
        <v>100911.88799999992</v>
      </c>
      <c r="H1054" s="13">
        <f>Tabla1[[#This Row],[Beneficio]]/Tabla1[[#This Row],[Ingresos]]</f>
        <v>0.14965986394557812</v>
      </c>
    </row>
    <row r="1055" spans="1:8" x14ac:dyDescent="0.35">
      <c r="A1055" s="2">
        <v>43798</v>
      </c>
      <c r="B1055" t="s">
        <v>9</v>
      </c>
      <c r="C1055" t="s">
        <v>43</v>
      </c>
      <c r="D1055" t="s">
        <v>17</v>
      </c>
      <c r="E1055" s="7">
        <v>12863.759999999998</v>
      </c>
      <c r="F1055" s="7">
        <v>6916</v>
      </c>
      <c r="G1055" s="8">
        <f>Tabla1[[#This Row],[Ingresos]]-Tabla1[[#This Row],[Gastos]]</f>
        <v>5947.7599999999984</v>
      </c>
      <c r="H1055" s="13">
        <f>Tabla1[[#This Row],[Beneficio]]/Tabla1[[#This Row],[Ingresos]]</f>
        <v>0.46236559139784938</v>
      </c>
    </row>
    <row r="1056" spans="1:8" x14ac:dyDescent="0.35">
      <c r="A1056" s="2">
        <v>43798</v>
      </c>
      <c r="B1056" t="s">
        <v>9</v>
      </c>
      <c r="C1056" t="s">
        <v>10</v>
      </c>
      <c r="D1056" t="s">
        <v>18</v>
      </c>
      <c r="E1056" s="7">
        <v>1169.5319999999999</v>
      </c>
      <c r="F1056" s="7">
        <v>963.9</v>
      </c>
      <c r="G1056" s="8">
        <f>Tabla1[[#This Row],[Ingresos]]-Tabla1[[#This Row],[Gastos]]</f>
        <v>205.63199999999995</v>
      </c>
      <c r="H1056" s="13">
        <f>Tabla1[[#This Row],[Beneficio]]/Tabla1[[#This Row],[Ingresos]]</f>
        <v>0.17582417582417578</v>
      </c>
    </row>
    <row r="1057" spans="1:8" x14ac:dyDescent="0.35">
      <c r="A1057" s="2">
        <v>43799</v>
      </c>
      <c r="B1057" t="s">
        <v>5</v>
      </c>
      <c r="C1057" t="s">
        <v>43</v>
      </c>
      <c r="D1057" t="s">
        <v>16</v>
      </c>
      <c r="E1057" s="7">
        <v>161859.72115384613</v>
      </c>
      <c r="F1057" s="7">
        <v>141755.04</v>
      </c>
      <c r="G1057" s="8">
        <f>Tabla1[[#This Row],[Ingresos]]-Tabla1[[#This Row],[Gastos]]</f>
        <v>20104.681153846119</v>
      </c>
      <c r="H1057" s="13">
        <f>Tabla1[[#This Row],[Beneficio]]/Tabla1[[#This Row],[Ingresos]]</f>
        <v>0.12421052631578927</v>
      </c>
    </row>
    <row r="1058" spans="1:8" x14ac:dyDescent="0.35">
      <c r="A1058" s="2">
        <v>43799</v>
      </c>
      <c r="B1058" t="s">
        <v>8</v>
      </c>
      <c r="C1058" t="s">
        <v>11</v>
      </c>
      <c r="D1058" t="s">
        <v>18</v>
      </c>
      <c r="E1058" s="7">
        <v>6768.384</v>
      </c>
      <c r="F1058" s="7">
        <v>5076.2879999999996</v>
      </c>
      <c r="G1058" s="8">
        <f>Tabla1[[#This Row],[Ingresos]]-Tabla1[[#This Row],[Gastos]]</f>
        <v>1692.0960000000005</v>
      </c>
      <c r="H1058" s="13">
        <f>Tabla1[[#This Row],[Beneficio]]/Tabla1[[#This Row],[Ingresos]]</f>
        <v>0.25000000000000006</v>
      </c>
    </row>
    <row r="1059" spans="1:8" x14ac:dyDescent="0.35">
      <c r="A1059" s="2">
        <v>43801</v>
      </c>
      <c r="B1059" t="s">
        <v>6</v>
      </c>
      <c r="C1059" t="s">
        <v>43</v>
      </c>
      <c r="D1059" t="s">
        <v>17</v>
      </c>
      <c r="E1059" s="7">
        <v>17653.435799999999</v>
      </c>
      <c r="F1059" s="7">
        <v>9699.69</v>
      </c>
      <c r="G1059" s="8">
        <f>Tabla1[[#This Row],[Ingresos]]-Tabla1[[#This Row],[Gastos]]</f>
        <v>7953.7457999999988</v>
      </c>
      <c r="H1059" s="13">
        <f>Tabla1[[#This Row],[Beneficio]]/Tabla1[[#This Row],[Ingresos]]</f>
        <v>0.4505494505494505</v>
      </c>
    </row>
    <row r="1060" spans="1:8" x14ac:dyDescent="0.35">
      <c r="A1060" s="2">
        <v>43801</v>
      </c>
      <c r="B1060" t="s">
        <v>6</v>
      </c>
      <c r="C1060" t="s">
        <v>12</v>
      </c>
      <c r="D1060" t="s">
        <v>17</v>
      </c>
      <c r="E1060" s="7">
        <v>223815.242</v>
      </c>
      <c r="F1060" s="7">
        <v>186812.08000000002</v>
      </c>
      <c r="G1060" s="8">
        <f>Tabla1[[#This Row],[Ingresos]]-Tabla1[[#This Row],[Gastos]]</f>
        <v>37003.161999999982</v>
      </c>
      <c r="H1060" s="13">
        <f>Tabla1[[#This Row],[Beneficio]]/Tabla1[[#This Row],[Ingresos]]</f>
        <v>0.16532905296950232</v>
      </c>
    </row>
    <row r="1061" spans="1:8" x14ac:dyDescent="0.35">
      <c r="A1061" s="2">
        <v>43802</v>
      </c>
      <c r="B1061" t="s">
        <v>5</v>
      </c>
      <c r="C1061" t="s">
        <v>11</v>
      </c>
      <c r="D1061" t="s">
        <v>16</v>
      </c>
      <c r="E1061" s="7">
        <v>16492.067307692305</v>
      </c>
      <c r="F1061" s="7">
        <v>13860</v>
      </c>
      <c r="G1061" s="8">
        <f>Tabla1[[#This Row],[Ingresos]]-Tabla1[[#This Row],[Gastos]]</f>
        <v>2632.0673076923049</v>
      </c>
      <c r="H1061" s="13">
        <f>Tabla1[[#This Row],[Beneficio]]/Tabla1[[#This Row],[Ingresos]]</f>
        <v>0.15959595959595946</v>
      </c>
    </row>
    <row r="1062" spans="1:8" x14ac:dyDescent="0.35">
      <c r="A1062" s="2">
        <v>43803</v>
      </c>
      <c r="B1062" t="s">
        <v>9</v>
      </c>
      <c r="C1062" t="s">
        <v>12</v>
      </c>
      <c r="D1062" t="s">
        <v>17</v>
      </c>
      <c r="E1062" s="7">
        <v>172264.4</v>
      </c>
      <c r="F1062" s="7">
        <v>136136</v>
      </c>
      <c r="G1062" s="8">
        <f>Tabla1[[#This Row],[Ingresos]]-Tabla1[[#This Row],[Gastos]]</f>
        <v>36128.399999999994</v>
      </c>
      <c r="H1062" s="13">
        <f>Tabla1[[#This Row],[Beneficio]]/Tabla1[[#This Row],[Ingresos]]</f>
        <v>0.20972644376899693</v>
      </c>
    </row>
    <row r="1063" spans="1:8" x14ac:dyDescent="0.35">
      <c r="A1063" s="2">
        <v>43803</v>
      </c>
      <c r="B1063" t="s">
        <v>9</v>
      </c>
      <c r="C1063" t="s">
        <v>12</v>
      </c>
      <c r="D1063" t="s">
        <v>17</v>
      </c>
      <c r="E1063" s="7">
        <v>202482.69999999998</v>
      </c>
      <c r="F1063" s="7">
        <v>174902</v>
      </c>
      <c r="G1063" s="8">
        <f>Tabla1[[#This Row],[Ingresos]]-Tabla1[[#This Row],[Gastos]]</f>
        <v>27580.699999999983</v>
      </c>
      <c r="H1063" s="13">
        <f>Tabla1[[#This Row],[Beneficio]]/Tabla1[[#This Row],[Ingresos]]</f>
        <v>0.13621262458471753</v>
      </c>
    </row>
    <row r="1064" spans="1:8" x14ac:dyDescent="0.35">
      <c r="A1064" s="2">
        <v>43804</v>
      </c>
      <c r="B1064" t="s">
        <v>9</v>
      </c>
      <c r="C1064" t="s">
        <v>11</v>
      </c>
      <c r="D1064" t="s">
        <v>17</v>
      </c>
      <c r="E1064" s="7">
        <v>38017.979999999996</v>
      </c>
      <c r="F1064" s="7">
        <v>19008.989999999998</v>
      </c>
      <c r="G1064" s="8">
        <f>Tabla1[[#This Row],[Ingresos]]-Tabla1[[#This Row],[Gastos]]</f>
        <v>19008.989999999998</v>
      </c>
      <c r="H1064" s="13">
        <f>Tabla1[[#This Row],[Beneficio]]/Tabla1[[#This Row],[Ingresos]]</f>
        <v>0.5</v>
      </c>
    </row>
    <row r="1065" spans="1:8" x14ac:dyDescent="0.35">
      <c r="A1065" s="2">
        <v>43805</v>
      </c>
      <c r="B1065" t="s">
        <v>7</v>
      </c>
      <c r="C1065" t="s">
        <v>13</v>
      </c>
      <c r="D1065" t="s">
        <v>15</v>
      </c>
      <c r="E1065" s="7">
        <v>12967.5</v>
      </c>
      <c r="F1065" s="7">
        <v>8645</v>
      </c>
      <c r="G1065" s="8">
        <f>Tabla1[[#This Row],[Ingresos]]-Tabla1[[#This Row],[Gastos]]</f>
        <v>4322.5</v>
      </c>
      <c r="H1065" s="13">
        <f>Tabla1[[#This Row],[Beneficio]]/Tabla1[[#This Row],[Ingresos]]</f>
        <v>0.33333333333333331</v>
      </c>
    </row>
    <row r="1066" spans="1:8" x14ac:dyDescent="0.35">
      <c r="A1066" s="2">
        <v>43806</v>
      </c>
      <c r="B1066" t="s">
        <v>7</v>
      </c>
      <c r="C1066" t="s">
        <v>43</v>
      </c>
      <c r="D1066" t="s">
        <v>19</v>
      </c>
      <c r="E1066" s="7">
        <v>245085.74999999997</v>
      </c>
      <c r="F1066" s="7">
        <v>224437.5</v>
      </c>
      <c r="G1066" s="8">
        <f>Tabla1[[#This Row],[Ingresos]]-Tabla1[[#This Row],[Gastos]]</f>
        <v>20648.249999999971</v>
      </c>
      <c r="H1066" s="13">
        <f>Tabla1[[#This Row],[Beneficio]]/Tabla1[[#This Row],[Ingresos]]</f>
        <v>8.4249084249084144E-2</v>
      </c>
    </row>
    <row r="1067" spans="1:8" x14ac:dyDescent="0.35">
      <c r="A1067" s="2">
        <v>43806</v>
      </c>
      <c r="B1067" t="s">
        <v>9</v>
      </c>
      <c r="C1067" t="s">
        <v>43</v>
      </c>
      <c r="D1067" t="s">
        <v>18</v>
      </c>
      <c r="E1067" s="7">
        <v>16255.590119999997</v>
      </c>
      <c r="F1067" s="7">
        <v>13698.531000000001</v>
      </c>
      <c r="G1067" s="8">
        <f>Tabla1[[#This Row],[Ingresos]]-Tabla1[[#This Row],[Gastos]]</f>
        <v>2557.0591199999963</v>
      </c>
      <c r="H1067" s="13">
        <f>Tabla1[[#This Row],[Beneficio]]/Tabla1[[#This Row],[Ingresos]]</f>
        <v>0.15730337078651666</v>
      </c>
    </row>
    <row r="1068" spans="1:8" x14ac:dyDescent="0.35">
      <c r="A1068" s="2">
        <v>43808</v>
      </c>
      <c r="B1068" t="s">
        <v>9</v>
      </c>
      <c r="C1068" t="s">
        <v>10</v>
      </c>
      <c r="D1068" t="s">
        <v>17</v>
      </c>
      <c r="E1068" s="7">
        <v>6869.45</v>
      </c>
      <c r="F1068" s="7">
        <v>3615.4999999999995</v>
      </c>
      <c r="G1068" s="8">
        <f>Tabla1[[#This Row],[Ingresos]]-Tabla1[[#This Row],[Gastos]]</f>
        <v>3253.9500000000003</v>
      </c>
      <c r="H1068" s="13">
        <f>Tabla1[[#This Row],[Beneficio]]/Tabla1[[#This Row],[Ingresos]]</f>
        <v>0.47368421052631582</v>
      </c>
    </row>
    <row r="1069" spans="1:8" x14ac:dyDescent="0.35">
      <c r="A1069" s="2">
        <v>43808</v>
      </c>
      <c r="B1069" t="s">
        <v>9</v>
      </c>
      <c r="C1069" t="s">
        <v>10</v>
      </c>
      <c r="D1069" t="s">
        <v>17</v>
      </c>
      <c r="E1069" s="7">
        <v>1743.35</v>
      </c>
      <c r="F1069" s="7">
        <v>1025.5</v>
      </c>
      <c r="G1069" s="8">
        <f>Tabla1[[#This Row],[Ingresos]]-Tabla1[[#This Row],[Gastos]]</f>
        <v>717.84999999999991</v>
      </c>
      <c r="H1069" s="13">
        <f>Tabla1[[#This Row],[Beneficio]]/Tabla1[[#This Row],[Ingresos]]</f>
        <v>0.41176470588235292</v>
      </c>
    </row>
    <row r="1070" spans="1:8" x14ac:dyDescent="0.35">
      <c r="A1070" s="2">
        <v>43809</v>
      </c>
      <c r="B1070" t="s">
        <v>7</v>
      </c>
      <c r="C1070" t="s">
        <v>43</v>
      </c>
      <c r="D1070" t="s">
        <v>15</v>
      </c>
      <c r="E1070" s="7">
        <v>24625.5471</v>
      </c>
      <c r="F1070" s="7">
        <v>16582.859999999997</v>
      </c>
      <c r="G1070" s="8">
        <f>Tabla1[[#This Row],[Ingresos]]-Tabla1[[#This Row],[Gastos]]</f>
        <v>8042.6871000000028</v>
      </c>
      <c r="H1070" s="13">
        <f>Tabla1[[#This Row],[Beneficio]]/Tabla1[[#This Row],[Ingresos]]</f>
        <v>0.32659932659932672</v>
      </c>
    </row>
    <row r="1071" spans="1:8" x14ac:dyDescent="0.35">
      <c r="A1071" s="2">
        <v>43809</v>
      </c>
      <c r="B1071" t="s">
        <v>7</v>
      </c>
      <c r="C1071" t="s">
        <v>11</v>
      </c>
      <c r="D1071" t="s">
        <v>17</v>
      </c>
      <c r="E1071" s="7">
        <v>6612.0599999999995</v>
      </c>
      <c r="F1071" s="7">
        <v>3632.9999999999995</v>
      </c>
      <c r="G1071" s="8">
        <f>Tabla1[[#This Row],[Ingresos]]-Tabla1[[#This Row],[Gastos]]</f>
        <v>2979.06</v>
      </c>
      <c r="H1071" s="13">
        <f>Tabla1[[#This Row],[Beneficio]]/Tabla1[[#This Row],[Ingresos]]</f>
        <v>0.45054945054945056</v>
      </c>
    </row>
    <row r="1072" spans="1:8" x14ac:dyDescent="0.35">
      <c r="A1072" s="2">
        <v>43809</v>
      </c>
      <c r="B1072" t="s">
        <v>5</v>
      </c>
      <c r="C1072" t="s">
        <v>13</v>
      </c>
      <c r="D1072" t="s">
        <v>19</v>
      </c>
      <c r="E1072" s="7">
        <v>263932.326</v>
      </c>
      <c r="F1072" s="7">
        <v>236498.49999999997</v>
      </c>
      <c r="G1072" s="8">
        <f>Tabla1[[#This Row],[Ingresos]]-Tabla1[[#This Row],[Gastos]]</f>
        <v>27433.82600000003</v>
      </c>
      <c r="H1072" s="13">
        <f>Tabla1[[#This Row],[Beneficio]]/Tabla1[[#This Row],[Ingresos]]</f>
        <v>0.10394265232974921</v>
      </c>
    </row>
    <row r="1073" spans="1:8" x14ac:dyDescent="0.35">
      <c r="A1073" s="2">
        <v>43810</v>
      </c>
      <c r="B1073" t="s">
        <v>5</v>
      </c>
      <c r="C1073" t="s">
        <v>12</v>
      </c>
      <c r="D1073" t="s">
        <v>16</v>
      </c>
      <c r="E1073" s="7">
        <v>173939.0625</v>
      </c>
      <c r="F1073" s="7">
        <v>152334</v>
      </c>
      <c r="G1073" s="8">
        <f>Tabla1[[#This Row],[Ingresos]]-Tabla1[[#This Row],[Gastos]]</f>
        <v>21605.0625</v>
      </c>
      <c r="H1073" s="13">
        <f>Tabla1[[#This Row],[Beneficio]]/Tabla1[[#This Row],[Ingresos]]</f>
        <v>0.12421052631578948</v>
      </c>
    </row>
    <row r="1074" spans="1:8" x14ac:dyDescent="0.35">
      <c r="A1074" s="2">
        <v>43813</v>
      </c>
      <c r="B1074" t="s">
        <v>7</v>
      </c>
      <c r="C1074" t="s">
        <v>12</v>
      </c>
      <c r="D1074" t="s">
        <v>17</v>
      </c>
      <c r="E1074" s="7">
        <v>13732.949999999999</v>
      </c>
      <c r="F1074" s="7">
        <v>7892.4999999999991</v>
      </c>
      <c r="G1074" s="8">
        <f>Tabla1[[#This Row],[Ingresos]]-Tabla1[[#This Row],[Gastos]]</f>
        <v>5840.45</v>
      </c>
      <c r="H1074" s="13">
        <f>Tabla1[[#This Row],[Beneficio]]/Tabla1[[#This Row],[Ingresos]]</f>
        <v>0.42528735632183912</v>
      </c>
    </row>
    <row r="1075" spans="1:8" x14ac:dyDescent="0.35">
      <c r="A1075" s="2">
        <v>43814</v>
      </c>
      <c r="B1075" t="s">
        <v>7</v>
      </c>
      <c r="C1075" t="s">
        <v>13</v>
      </c>
      <c r="D1075" t="s">
        <v>15</v>
      </c>
      <c r="E1075" s="7">
        <v>10236.24</v>
      </c>
      <c r="F1075" s="7">
        <v>7108.5</v>
      </c>
      <c r="G1075" s="8">
        <f>Tabla1[[#This Row],[Ingresos]]-Tabla1[[#This Row],[Gastos]]</f>
        <v>3127.74</v>
      </c>
      <c r="H1075" s="13">
        <f>Tabla1[[#This Row],[Beneficio]]/Tabla1[[#This Row],[Ingresos]]</f>
        <v>0.30555555555555552</v>
      </c>
    </row>
    <row r="1076" spans="1:8" x14ac:dyDescent="0.35">
      <c r="A1076" s="2">
        <v>43814</v>
      </c>
      <c r="B1076" t="s">
        <v>6</v>
      </c>
      <c r="C1076" t="s">
        <v>13</v>
      </c>
      <c r="D1076" t="s">
        <v>17</v>
      </c>
      <c r="E1076" s="7">
        <v>3601.8919999999998</v>
      </c>
      <c r="F1076" s="7">
        <v>2796.5</v>
      </c>
      <c r="G1076" s="8">
        <f>Tabla1[[#This Row],[Ingresos]]-Tabla1[[#This Row],[Gastos]]</f>
        <v>805.39199999999983</v>
      </c>
      <c r="H1076" s="13">
        <f>Tabla1[[#This Row],[Beneficio]]/Tabla1[[#This Row],[Ingresos]]</f>
        <v>0.22360248447204964</v>
      </c>
    </row>
    <row r="1077" spans="1:8" x14ac:dyDescent="0.35">
      <c r="A1077" s="2">
        <v>43814</v>
      </c>
      <c r="B1077" t="s">
        <v>7</v>
      </c>
      <c r="C1077" t="s">
        <v>13</v>
      </c>
      <c r="D1077" t="s">
        <v>18</v>
      </c>
      <c r="E1077" s="7">
        <v>3756.6899999999996</v>
      </c>
      <c r="F1077" s="7">
        <v>3165.75</v>
      </c>
      <c r="G1077" s="8">
        <f>Tabla1[[#This Row],[Ingresos]]-Tabla1[[#This Row],[Gastos]]</f>
        <v>590.9399999999996</v>
      </c>
      <c r="H1077" s="13">
        <f>Tabla1[[#This Row],[Beneficio]]/Tabla1[[#This Row],[Ingresos]]</f>
        <v>0.15730337078651677</v>
      </c>
    </row>
    <row r="1078" spans="1:8" x14ac:dyDescent="0.35">
      <c r="A1078" s="2">
        <v>43815</v>
      </c>
      <c r="B1078" t="s">
        <v>9</v>
      </c>
      <c r="C1078" t="s">
        <v>12</v>
      </c>
      <c r="D1078" t="s">
        <v>17</v>
      </c>
      <c r="E1078" s="7">
        <v>71997.618000000002</v>
      </c>
      <c r="F1078" s="7">
        <v>40448.1</v>
      </c>
      <c r="G1078" s="8">
        <f>Tabla1[[#This Row],[Ingresos]]-Tabla1[[#This Row],[Gastos]]</f>
        <v>31549.518000000004</v>
      </c>
      <c r="H1078" s="13">
        <f>Tabla1[[#This Row],[Beneficio]]/Tabla1[[#This Row],[Ingresos]]</f>
        <v>0.43820224719101125</v>
      </c>
    </row>
    <row r="1079" spans="1:8" x14ac:dyDescent="0.35">
      <c r="A1079" s="2">
        <v>43816</v>
      </c>
      <c r="B1079" t="s">
        <v>7</v>
      </c>
      <c r="C1079" t="s">
        <v>43</v>
      </c>
      <c r="D1079" t="s">
        <v>15</v>
      </c>
      <c r="E1079" s="7">
        <v>9146.7494999999999</v>
      </c>
      <c r="F1079" s="7">
        <v>6775.37</v>
      </c>
      <c r="G1079" s="8">
        <f>Tabla1[[#This Row],[Ingresos]]-Tabla1[[#This Row],[Gastos]]</f>
        <v>2371.3795</v>
      </c>
      <c r="H1079" s="13">
        <f>Tabla1[[#This Row],[Beneficio]]/Tabla1[[#This Row],[Ingresos]]</f>
        <v>0.25925925925925924</v>
      </c>
    </row>
    <row r="1080" spans="1:8" x14ac:dyDescent="0.35">
      <c r="A1080" s="2">
        <v>43816</v>
      </c>
      <c r="B1080" t="s">
        <v>5</v>
      </c>
      <c r="C1080" t="s">
        <v>43</v>
      </c>
      <c r="D1080" t="s">
        <v>17</v>
      </c>
      <c r="E1080" s="7">
        <v>15629.1072</v>
      </c>
      <c r="F1080" s="7">
        <v>8140.16</v>
      </c>
      <c r="G1080" s="8">
        <f>Tabla1[[#This Row],[Ingresos]]-Tabla1[[#This Row],[Gastos]]</f>
        <v>7488.9472000000005</v>
      </c>
      <c r="H1080" s="13">
        <f>Tabla1[[#This Row],[Beneficio]]/Tabla1[[#This Row],[Ingresos]]</f>
        <v>0.47916666666666669</v>
      </c>
    </row>
    <row r="1081" spans="1:8" x14ac:dyDescent="0.35">
      <c r="A1081" s="2">
        <v>43816</v>
      </c>
      <c r="B1081" t="s">
        <v>8</v>
      </c>
      <c r="C1081" t="s">
        <v>12</v>
      </c>
      <c r="D1081" t="s">
        <v>19</v>
      </c>
      <c r="E1081" s="7">
        <v>230060.81699999998</v>
      </c>
      <c r="F1081" s="7">
        <v>215412.75</v>
      </c>
      <c r="G1081" s="8">
        <f>Tabla1[[#This Row],[Ingresos]]-Tabla1[[#This Row],[Gastos]]</f>
        <v>14648.066999999981</v>
      </c>
      <c r="H1081" s="13">
        <f>Tabla1[[#This Row],[Beneficio]]/Tabla1[[#This Row],[Ingresos]]</f>
        <v>6.3670411985018646E-2</v>
      </c>
    </row>
    <row r="1082" spans="1:8" x14ac:dyDescent="0.35">
      <c r="A1082" s="2">
        <v>43817</v>
      </c>
      <c r="B1082" t="s">
        <v>5</v>
      </c>
      <c r="C1082" t="s">
        <v>12</v>
      </c>
      <c r="D1082" t="s">
        <v>16</v>
      </c>
      <c r="E1082" s="7">
        <v>12572.952403846151</v>
      </c>
      <c r="F1082" s="7">
        <v>7861.8749999999991</v>
      </c>
      <c r="G1082" s="8">
        <f>Tabla1[[#This Row],[Ingresos]]-Tabla1[[#This Row],[Gastos]]</f>
        <v>4711.0774038461523</v>
      </c>
      <c r="H1082" s="13">
        <f>Tabla1[[#This Row],[Beneficio]]/Tabla1[[#This Row],[Ingresos]]</f>
        <v>0.37469937469937464</v>
      </c>
    </row>
    <row r="1083" spans="1:8" x14ac:dyDescent="0.35">
      <c r="A1083" s="2">
        <v>43818</v>
      </c>
      <c r="B1083" t="s">
        <v>9</v>
      </c>
      <c r="C1083" t="s">
        <v>43</v>
      </c>
      <c r="D1083" t="s">
        <v>17</v>
      </c>
      <c r="E1083" s="7">
        <v>10393.949999999999</v>
      </c>
      <c r="F1083" s="7">
        <v>5470.5</v>
      </c>
      <c r="G1083" s="8">
        <f>Tabla1[[#This Row],[Ingresos]]-Tabla1[[#This Row],[Gastos]]</f>
        <v>4923.4499999999989</v>
      </c>
      <c r="H1083" s="13">
        <f>Tabla1[[#This Row],[Beneficio]]/Tabla1[[#This Row],[Ingresos]]</f>
        <v>0.47368421052631571</v>
      </c>
    </row>
    <row r="1084" spans="1:8" x14ac:dyDescent="0.35">
      <c r="A1084" s="2">
        <v>43818</v>
      </c>
      <c r="B1084" t="s">
        <v>5</v>
      </c>
      <c r="C1084" t="s">
        <v>43</v>
      </c>
      <c r="D1084" t="s">
        <v>19</v>
      </c>
      <c r="E1084" s="7">
        <v>322938</v>
      </c>
      <c r="F1084" s="7">
        <v>305812.5</v>
      </c>
      <c r="G1084" s="8">
        <f>Tabla1[[#This Row],[Ingresos]]-Tabla1[[#This Row],[Gastos]]</f>
        <v>17125.5</v>
      </c>
      <c r="H1084" s="13">
        <f>Tabla1[[#This Row],[Beneficio]]/Tabla1[[#This Row],[Ingresos]]</f>
        <v>5.3030303030303032E-2</v>
      </c>
    </row>
    <row r="1085" spans="1:8" x14ac:dyDescent="0.35">
      <c r="A1085" s="2">
        <v>43818</v>
      </c>
      <c r="B1085" t="s">
        <v>8</v>
      </c>
      <c r="C1085" t="s">
        <v>10</v>
      </c>
      <c r="D1085" t="s">
        <v>19</v>
      </c>
      <c r="E1085" s="7">
        <v>135088.79999999999</v>
      </c>
      <c r="F1085" s="7">
        <v>130899.99999999999</v>
      </c>
      <c r="G1085" s="8">
        <f>Tabla1[[#This Row],[Ingresos]]-Tabla1[[#This Row],[Gastos]]</f>
        <v>4188.8000000000029</v>
      </c>
      <c r="H1085" s="13">
        <f>Tabla1[[#This Row],[Beneficio]]/Tabla1[[#This Row],[Ingresos]]</f>
        <v>3.100775193798452E-2</v>
      </c>
    </row>
    <row r="1086" spans="1:8" x14ac:dyDescent="0.35">
      <c r="A1086" s="2">
        <v>43820</v>
      </c>
      <c r="B1086" t="s">
        <v>7</v>
      </c>
      <c r="C1086" t="s">
        <v>11</v>
      </c>
      <c r="D1086" t="s">
        <v>15</v>
      </c>
      <c r="E1086" s="7">
        <v>49656.946499999991</v>
      </c>
      <c r="F1086" s="7">
        <v>34846.979999999996</v>
      </c>
      <c r="G1086" s="8">
        <f>Tabla1[[#This Row],[Ingresos]]-Tabla1[[#This Row],[Gastos]]</f>
        <v>14809.966499999995</v>
      </c>
      <c r="H1086" s="13">
        <f>Tabla1[[#This Row],[Beneficio]]/Tabla1[[#This Row],[Ingresos]]</f>
        <v>0.29824561403508765</v>
      </c>
    </row>
    <row r="1087" spans="1:8" x14ac:dyDescent="0.35">
      <c r="A1087" s="2">
        <v>43820</v>
      </c>
      <c r="B1087" t="s">
        <v>7</v>
      </c>
      <c r="C1087" t="s">
        <v>11</v>
      </c>
      <c r="D1087" t="s">
        <v>17</v>
      </c>
      <c r="E1087" s="7">
        <v>223972.875</v>
      </c>
      <c r="F1087" s="7">
        <v>195741</v>
      </c>
      <c r="G1087" s="8">
        <f>Tabla1[[#This Row],[Ingresos]]-Tabla1[[#This Row],[Gastos]]</f>
        <v>28231.875</v>
      </c>
      <c r="H1087" s="13">
        <f>Tabla1[[#This Row],[Beneficio]]/Tabla1[[#This Row],[Ingresos]]</f>
        <v>0.12605042016806722</v>
      </c>
    </row>
    <row r="1088" spans="1:8" x14ac:dyDescent="0.35">
      <c r="A1088" s="2">
        <v>43820</v>
      </c>
      <c r="B1088" t="s">
        <v>7</v>
      </c>
      <c r="C1088" t="s">
        <v>12</v>
      </c>
      <c r="D1088" t="s">
        <v>17</v>
      </c>
      <c r="E1088" s="7">
        <v>3139.4035400000002</v>
      </c>
      <c r="F1088" s="7">
        <v>2385.5650000000001</v>
      </c>
      <c r="G1088" s="8">
        <f>Tabla1[[#This Row],[Ingresos]]-Tabla1[[#This Row],[Gastos]]</f>
        <v>753.83854000000019</v>
      </c>
      <c r="H1088" s="13">
        <f>Tabla1[[#This Row],[Beneficio]]/Tabla1[[#This Row],[Ingresos]]</f>
        <v>0.2401215805471125</v>
      </c>
    </row>
    <row r="1089" spans="1:8" x14ac:dyDescent="0.35">
      <c r="A1089" s="2">
        <v>43821</v>
      </c>
      <c r="B1089" t="s">
        <v>9</v>
      </c>
      <c r="C1089" t="s">
        <v>13</v>
      </c>
      <c r="D1089" t="s">
        <v>17</v>
      </c>
      <c r="E1089" s="7">
        <v>22351.564619999997</v>
      </c>
      <c r="F1089" s="7">
        <v>18142.50375</v>
      </c>
      <c r="G1089" s="8">
        <f>Tabla1[[#This Row],[Ingresos]]-Tabla1[[#This Row],[Gastos]]</f>
        <v>4209.0608699999975</v>
      </c>
      <c r="H1089" s="13">
        <f>Tabla1[[#This Row],[Beneficio]]/Tabla1[[#This Row],[Ingresos]]</f>
        <v>0.18831168831168824</v>
      </c>
    </row>
    <row r="1090" spans="1:8" x14ac:dyDescent="0.35">
      <c r="A1090" s="2">
        <v>43822</v>
      </c>
      <c r="B1090" t="s">
        <v>5</v>
      </c>
      <c r="C1090" t="s">
        <v>11</v>
      </c>
      <c r="D1090" t="s">
        <v>17</v>
      </c>
      <c r="E1090" s="7">
        <v>7096.32</v>
      </c>
      <c r="F1090" s="7">
        <v>3695.9999999999995</v>
      </c>
      <c r="G1090" s="8">
        <f>Tabla1[[#This Row],[Ingresos]]-Tabla1[[#This Row],[Gastos]]</f>
        <v>3400.32</v>
      </c>
      <c r="H1090" s="13">
        <f>Tabla1[[#This Row],[Beneficio]]/Tabla1[[#This Row],[Ingresos]]</f>
        <v>0.47916666666666669</v>
      </c>
    </row>
    <row r="1091" spans="1:8" x14ac:dyDescent="0.35">
      <c r="A1091" s="2">
        <v>43822</v>
      </c>
      <c r="B1091" t="s">
        <v>9</v>
      </c>
      <c r="C1091" t="s">
        <v>10</v>
      </c>
      <c r="D1091" t="s">
        <v>17</v>
      </c>
      <c r="E1091" s="7">
        <v>2464.3322549999998</v>
      </c>
      <c r="F1091" s="7">
        <v>1778.0174999999999</v>
      </c>
      <c r="G1091" s="8">
        <f>Tabla1[[#This Row],[Ingresos]]-Tabla1[[#This Row],[Gastos]]</f>
        <v>686.31475499999988</v>
      </c>
      <c r="H1091" s="13">
        <f>Tabla1[[#This Row],[Beneficio]]/Tabla1[[#This Row],[Ingresos]]</f>
        <v>0.27849927849927847</v>
      </c>
    </row>
    <row r="1092" spans="1:8" x14ac:dyDescent="0.35">
      <c r="A1092" s="2">
        <v>43824</v>
      </c>
      <c r="B1092" t="s">
        <v>6</v>
      </c>
      <c r="C1092" t="s">
        <v>43</v>
      </c>
      <c r="D1092" t="s">
        <v>15</v>
      </c>
      <c r="E1092" s="7">
        <v>21025.62</v>
      </c>
      <c r="F1092" s="7">
        <v>14017.08</v>
      </c>
      <c r="G1092" s="8">
        <f>Tabla1[[#This Row],[Ingresos]]-Tabla1[[#This Row],[Gastos]]</f>
        <v>7008.5399999999991</v>
      </c>
      <c r="H1092" s="13">
        <f>Tabla1[[#This Row],[Beneficio]]/Tabla1[[#This Row],[Ingresos]]</f>
        <v>0.33333333333333331</v>
      </c>
    </row>
    <row r="1093" spans="1:8" x14ac:dyDescent="0.35">
      <c r="A1093" s="2">
        <v>43824</v>
      </c>
      <c r="B1093" t="s">
        <v>8</v>
      </c>
      <c r="C1093" t="s">
        <v>13</v>
      </c>
      <c r="D1093" t="s">
        <v>17</v>
      </c>
      <c r="E1093" s="7">
        <v>1099.952</v>
      </c>
      <c r="F1093" s="7">
        <v>854</v>
      </c>
      <c r="G1093" s="8">
        <f>Tabla1[[#This Row],[Ingresos]]-Tabla1[[#This Row],[Gastos]]</f>
        <v>245.952</v>
      </c>
      <c r="H1093" s="13">
        <f>Tabla1[[#This Row],[Beneficio]]/Tabla1[[#This Row],[Ingresos]]</f>
        <v>0.2236024844720497</v>
      </c>
    </row>
    <row r="1094" spans="1:8" x14ac:dyDescent="0.35">
      <c r="A1094" s="2">
        <v>43828</v>
      </c>
      <c r="B1094" t="s">
        <v>6</v>
      </c>
      <c r="C1094" t="s">
        <v>13</v>
      </c>
      <c r="D1094" t="s">
        <v>15</v>
      </c>
      <c r="E1094" s="7">
        <v>3882.5324999999998</v>
      </c>
      <c r="F1094" s="7">
        <v>2614.5</v>
      </c>
      <c r="G1094" s="8">
        <f>Tabla1[[#This Row],[Ingresos]]-Tabla1[[#This Row],[Gastos]]</f>
        <v>1268.0324999999998</v>
      </c>
      <c r="H1094" s="13">
        <f>Tabla1[[#This Row],[Beneficio]]/Tabla1[[#This Row],[Ingresos]]</f>
        <v>0.32659932659932656</v>
      </c>
    </row>
    <row r="1095" spans="1:8" x14ac:dyDescent="0.35">
      <c r="A1095" s="2">
        <v>43828</v>
      </c>
      <c r="B1095" t="s">
        <v>7</v>
      </c>
      <c r="C1095" t="s">
        <v>11</v>
      </c>
      <c r="D1095" t="s">
        <v>19</v>
      </c>
      <c r="E1095" s="7">
        <v>250262.83799999999</v>
      </c>
      <c r="F1095" s="7">
        <v>242502.74999999997</v>
      </c>
      <c r="G1095" s="8">
        <f>Tabla1[[#This Row],[Ingresos]]-Tabla1[[#This Row],[Gastos]]</f>
        <v>7760.0880000000179</v>
      </c>
      <c r="H1095" s="13">
        <f>Tabla1[[#This Row],[Beneficio]]/Tabla1[[#This Row],[Ingresos]]</f>
        <v>3.1007751937984569E-2</v>
      </c>
    </row>
    <row r="1096" spans="1:8" x14ac:dyDescent="0.35">
      <c r="A1096" s="2">
        <v>43828</v>
      </c>
      <c r="B1096" t="s">
        <v>6</v>
      </c>
      <c r="C1096" t="s">
        <v>11</v>
      </c>
      <c r="D1096" t="s">
        <v>18</v>
      </c>
      <c r="E1096" s="7">
        <v>3185.0279999999998</v>
      </c>
      <c r="F1096" s="7">
        <v>2412.8999999999996</v>
      </c>
      <c r="G1096" s="8">
        <f>Tabla1[[#This Row],[Ingresos]]-Tabla1[[#This Row],[Gastos]]</f>
        <v>772.12800000000016</v>
      </c>
      <c r="H1096" s="13">
        <f>Tabla1[[#This Row],[Beneficio]]/Tabla1[[#This Row],[Ingresos]]</f>
        <v>0.24242424242424249</v>
      </c>
    </row>
    <row r="1097" spans="1:8" x14ac:dyDescent="0.35">
      <c r="A1097" s="2">
        <v>43828</v>
      </c>
      <c r="B1097" t="s">
        <v>5</v>
      </c>
      <c r="C1097" t="s">
        <v>11</v>
      </c>
      <c r="D1097" t="s">
        <v>18</v>
      </c>
      <c r="E1097" s="7">
        <v>4700.4719999999998</v>
      </c>
      <c r="F1097" s="7">
        <v>3597.2999999999997</v>
      </c>
      <c r="G1097" s="8">
        <f>Tabla1[[#This Row],[Ingresos]]-Tabla1[[#This Row],[Gastos]]</f>
        <v>1103.172</v>
      </c>
      <c r="H1097" s="13">
        <f>Tabla1[[#This Row],[Beneficio]]/Tabla1[[#This Row],[Ingresos]]</f>
        <v>0.23469387755102042</v>
      </c>
    </row>
    <row r="1098" spans="1:8" x14ac:dyDescent="0.35">
      <c r="A1098" s="2">
        <v>43829</v>
      </c>
      <c r="B1098" t="s">
        <v>5</v>
      </c>
      <c r="C1098" t="s">
        <v>12</v>
      </c>
      <c r="D1098" t="s">
        <v>15</v>
      </c>
      <c r="E1098" s="7">
        <v>10847.13</v>
      </c>
      <c r="F1098" s="7">
        <v>7692.9999999999991</v>
      </c>
      <c r="G1098" s="8">
        <f>Tabla1[[#This Row],[Ingresos]]-Tabla1[[#This Row],[Gastos]]</f>
        <v>3154.13</v>
      </c>
      <c r="H1098" s="13">
        <f>Tabla1[[#This Row],[Beneficio]]/Tabla1[[#This Row],[Ingresos]]</f>
        <v>0.29078014184397166</v>
      </c>
    </row>
    <row r="1099" spans="1:8" x14ac:dyDescent="0.35">
      <c r="A1099" s="2">
        <v>43829</v>
      </c>
      <c r="B1099" t="s">
        <v>8</v>
      </c>
      <c r="C1099" t="s">
        <v>10</v>
      </c>
      <c r="D1099" t="s">
        <v>17</v>
      </c>
      <c r="E1099" s="7">
        <v>1226.2740000000001</v>
      </c>
      <c r="F1099" s="7">
        <v>1018.4999999999999</v>
      </c>
      <c r="G1099" s="8">
        <f>Tabla1[[#This Row],[Ingresos]]-Tabla1[[#This Row],[Gastos]]</f>
        <v>207.77400000000023</v>
      </c>
      <c r="H1099" s="13">
        <f>Tabla1[[#This Row],[Beneficio]]/Tabla1[[#This Row],[Ingresos]]</f>
        <v>0.16943521594684402</v>
      </c>
    </row>
    <row r="1100" spans="1:8" x14ac:dyDescent="0.35">
      <c r="A1100" s="2">
        <v>43829</v>
      </c>
      <c r="B1100" t="s">
        <v>7</v>
      </c>
      <c r="C1100" t="s">
        <v>10</v>
      </c>
      <c r="D1100" t="s">
        <v>19</v>
      </c>
      <c r="E1100" s="7">
        <v>237635.99999999997</v>
      </c>
      <c r="F1100" s="7">
        <v>215250</v>
      </c>
      <c r="G1100" s="8">
        <f>Tabla1[[#This Row],[Ingresos]]-Tabla1[[#This Row],[Gastos]]</f>
        <v>22385.999999999971</v>
      </c>
      <c r="H1100" s="13">
        <f>Tabla1[[#This Row],[Beneficio]]/Tabla1[[#This Row],[Ingresos]]</f>
        <v>9.4202898550724529E-2</v>
      </c>
    </row>
    <row r="1101" spans="1:8" x14ac:dyDescent="0.35">
      <c r="A1101" s="2">
        <v>43832</v>
      </c>
      <c r="B1101" t="s">
        <v>9</v>
      </c>
      <c r="C1101" t="s">
        <v>12</v>
      </c>
      <c r="D1101" t="s">
        <v>17</v>
      </c>
      <c r="E1101" s="7">
        <v>425493.06799999997</v>
      </c>
      <c r="F1101" s="7">
        <v>336255.92</v>
      </c>
      <c r="G1101" s="8">
        <f>Tabla1[[#This Row],[Ingresos]]-Tabla1[[#This Row],[Gastos]]</f>
        <v>89237.147999999986</v>
      </c>
      <c r="H1101" s="13">
        <f>Tabla1[[#This Row],[Beneficio]]/Tabla1[[#This Row],[Ingresos]]</f>
        <v>0.20972644376899693</v>
      </c>
    </row>
    <row r="1102" spans="1:8" x14ac:dyDescent="0.35">
      <c r="A1102" s="2">
        <v>43833</v>
      </c>
      <c r="B1102" t="s">
        <v>5</v>
      </c>
      <c r="C1102" t="s">
        <v>10</v>
      </c>
      <c r="D1102" t="s">
        <v>17</v>
      </c>
      <c r="E1102" s="7">
        <v>221954.54049999997</v>
      </c>
      <c r="F1102" s="7">
        <v>191721.53</v>
      </c>
      <c r="G1102" s="8">
        <f>Tabla1[[#This Row],[Ingresos]]-Tabla1[[#This Row],[Gastos]]</f>
        <v>30233.010499999975</v>
      </c>
      <c r="H1102" s="13">
        <f>Tabla1[[#This Row],[Beneficio]]/Tabla1[[#This Row],[Ingresos]]</f>
        <v>0.1362126245847175</v>
      </c>
    </row>
    <row r="1103" spans="1:8" x14ac:dyDescent="0.35">
      <c r="A1103" s="2">
        <v>43834</v>
      </c>
      <c r="B1103" t="s">
        <v>9</v>
      </c>
      <c r="C1103" t="s">
        <v>13</v>
      </c>
      <c r="D1103" t="s">
        <v>19</v>
      </c>
      <c r="E1103" s="7">
        <v>100618.56000000001</v>
      </c>
      <c r="F1103" s="7">
        <v>90160</v>
      </c>
      <c r="G1103" s="8">
        <f>Tabla1[[#This Row],[Ingresos]]-Tabla1[[#This Row],[Gastos]]</f>
        <v>10458.560000000012</v>
      </c>
      <c r="H1103" s="13">
        <f>Tabla1[[#This Row],[Beneficio]]/Tabla1[[#This Row],[Ingresos]]</f>
        <v>0.10394265232974921</v>
      </c>
    </row>
    <row r="1104" spans="1:8" x14ac:dyDescent="0.35">
      <c r="A1104" s="2">
        <v>43836</v>
      </c>
      <c r="B1104" t="s">
        <v>6</v>
      </c>
      <c r="C1104" t="s">
        <v>43</v>
      </c>
      <c r="D1104" t="s">
        <v>15</v>
      </c>
      <c r="E1104" s="7">
        <v>7550.5499999999993</v>
      </c>
      <c r="F1104" s="7">
        <v>5355</v>
      </c>
      <c r="G1104" s="8">
        <f>Tabla1[[#This Row],[Ingresos]]-Tabla1[[#This Row],[Gastos]]</f>
        <v>2195.5499999999993</v>
      </c>
      <c r="H1104" s="13">
        <f>Tabla1[[#This Row],[Beneficio]]/Tabla1[[#This Row],[Ingresos]]</f>
        <v>0.29078014184397155</v>
      </c>
    </row>
    <row r="1105" spans="1:8" x14ac:dyDescent="0.35">
      <c r="A1105" s="2">
        <v>43836</v>
      </c>
      <c r="B1105" t="s">
        <v>8</v>
      </c>
      <c r="C1105" t="s">
        <v>12</v>
      </c>
      <c r="D1105" t="s">
        <v>15</v>
      </c>
      <c r="E1105" s="7">
        <v>60500.886599999998</v>
      </c>
      <c r="F1105" s="7">
        <v>45834.004999999997</v>
      </c>
      <c r="G1105" s="8">
        <f>Tabla1[[#This Row],[Ingresos]]-Tabla1[[#This Row],[Gastos]]</f>
        <v>14666.881600000001</v>
      </c>
      <c r="H1105" s="13">
        <f>Tabla1[[#This Row],[Beneficio]]/Tabla1[[#This Row],[Ingresos]]</f>
        <v>0.24242424242424243</v>
      </c>
    </row>
    <row r="1106" spans="1:8" x14ac:dyDescent="0.35">
      <c r="A1106" s="2">
        <v>43836</v>
      </c>
      <c r="B1106" t="s">
        <v>5</v>
      </c>
      <c r="C1106" t="s">
        <v>10</v>
      </c>
      <c r="D1106" t="s">
        <v>17</v>
      </c>
      <c r="E1106" s="7">
        <v>28530.221999999998</v>
      </c>
      <c r="F1106" s="7">
        <v>15175.65</v>
      </c>
      <c r="G1106" s="8">
        <f>Tabla1[[#This Row],[Ingresos]]-Tabla1[[#This Row],[Gastos]]</f>
        <v>13354.571999999998</v>
      </c>
      <c r="H1106" s="13">
        <f>Tabla1[[#This Row],[Beneficio]]/Tabla1[[#This Row],[Ingresos]]</f>
        <v>0.46808510638297868</v>
      </c>
    </row>
    <row r="1107" spans="1:8" x14ac:dyDescent="0.35">
      <c r="A1107" s="2">
        <v>43836</v>
      </c>
      <c r="B1107" t="s">
        <v>6</v>
      </c>
      <c r="C1107" t="s">
        <v>12</v>
      </c>
      <c r="D1107" t="s">
        <v>19</v>
      </c>
      <c r="E1107" s="7">
        <v>80595.395999999993</v>
      </c>
      <c r="F1107" s="7">
        <v>68533.5</v>
      </c>
      <c r="G1107" s="8">
        <f>Tabla1[[#This Row],[Ingresos]]-Tabla1[[#This Row],[Gastos]]</f>
        <v>12061.895999999993</v>
      </c>
      <c r="H1107" s="13">
        <f>Tabla1[[#This Row],[Beneficio]]/Tabla1[[#This Row],[Ingresos]]</f>
        <v>0.14965986394557815</v>
      </c>
    </row>
    <row r="1108" spans="1:8" x14ac:dyDescent="0.35">
      <c r="A1108" s="2">
        <v>43836</v>
      </c>
      <c r="B1108" t="s">
        <v>5</v>
      </c>
      <c r="C1108" t="s">
        <v>11</v>
      </c>
      <c r="D1108" t="s">
        <v>19</v>
      </c>
      <c r="E1108" s="7">
        <v>815104.08000000007</v>
      </c>
      <c r="F1108" s="7">
        <v>754726</v>
      </c>
      <c r="G1108" s="8">
        <f>Tabla1[[#This Row],[Ingresos]]-Tabla1[[#This Row],[Gastos]]</f>
        <v>60378.080000000075</v>
      </c>
      <c r="H1108" s="13">
        <f>Tabla1[[#This Row],[Beneficio]]/Tabla1[[#This Row],[Ingresos]]</f>
        <v>7.4074074074074153E-2</v>
      </c>
    </row>
    <row r="1109" spans="1:8" x14ac:dyDescent="0.35">
      <c r="A1109" s="2">
        <v>43837</v>
      </c>
      <c r="B1109" t="s">
        <v>5</v>
      </c>
      <c r="C1109" t="s">
        <v>11</v>
      </c>
      <c r="D1109" t="s">
        <v>17</v>
      </c>
      <c r="E1109" s="7">
        <v>772.73049000000003</v>
      </c>
      <c r="F1109" s="7">
        <v>593.495</v>
      </c>
      <c r="G1109" s="8">
        <f>Tabla1[[#This Row],[Ingresos]]-Tabla1[[#This Row],[Gastos]]</f>
        <v>179.23549000000003</v>
      </c>
      <c r="H1109" s="13">
        <f>Tabla1[[#This Row],[Beneficio]]/Tabla1[[#This Row],[Ingresos]]</f>
        <v>0.23195084485407069</v>
      </c>
    </row>
    <row r="1110" spans="1:8" x14ac:dyDescent="0.35">
      <c r="A1110" s="2">
        <v>43837</v>
      </c>
      <c r="B1110" t="s">
        <v>7</v>
      </c>
      <c r="C1110" t="s">
        <v>12</v>
      </c>
      <c r="D1110" t="s">
        <v>18</v>
      </c>
      <c r="E1110" s="7">
        <v>2207.0160000000001</v>
      </c>
      <c r="F1110" s="7">
        <v>1902.6</v>
      </c>
      <c r="G1110" s="8">
        <f>Tabla1[[#This Row],[Ingresos]]-Tabla1[[#This Row],[Gastos]]</f>
        <v>304.41600000000017</v>
      </c>
      <c r="H1110" s="13">
        <f>Tabla1[[#This Row],[Beneficio]]/Tabla1[[#This Row],[Ingresos]]</f>
        <v>0.1379310344827587</v>
      </c>
    </row>
    <row r="1111" spans="1:8" x14ac:dyDescent="0.35">
      <c r="A1111" s="2">
        <v>43838</v>
      </c>
      <c r="B1111" t="s">
        <v>8</v>
      </c>
      <c r="C1111" t="s">
        <v>43</v>
      </c>
      <c r="D1111" t="s">
        <v>17</v>
      </c>
      <c r="E1111" s="7">
        <v>13176.186975000001</v>
      </c>
      <c r="F1111" s="7">
        <v>9906.9074999999993</v>
      </c>
      <c r="G1111" s="8">
        <f>Tabla1[[#This Row],[Ingresos]]-Tabla1[[#This Row],[Gastos]]</f>
        <v>3269.2794750000012</v>
      </c>
      <c r="H1111" s="13">
        <f>Tabla1[[#This Row],[Beneficio]]/Tabla1[[#This Row],[Ingresos]]</f>
        <v>0.24812030075187977</v>
      </c>
    </row>
    <row r="1112" spans="1:8" x14ac:dyDescent="0.35">
      <c r="A1112" s="2">
        <v>43839</v>
      </c>
      <c r="B1112" t="s">
        <v>7</v>
      </c>
      <c r="C1112" t="s">
        <v>13</v>
      </c>
      <c r="D1112" t="s">
        <v>17</v>
      </c>
      <c r="E1112" s="7">
        <v>3917.1824999999999</v>
      </c>
      <c r="F1112" s="7">
        <v>2945.25</v>
      </c>
      <c r="G1112" s="8">
        <f>Tabla1[[#This Row],[Ingresos]]-Tabla1[[#This Row],[Gastos]]</f>
        <v>971.93249999999989</v>
      </c>
      <c r="H1112" s="13">
        <f>Tabla1[[#This Row],[Beneficio]]/Tabla1[[#This Row],[Ingresos]]</f>
        <v>0.24812030075187969</v>
      </c>
    </row>
    <row r="1113" spans="1:8" x14ac:dyDescent="0.35">
      <c r="A1113" s="2">
        <v>43840</v>
      </c>
      <c r="B1113" t="s">
        <v>7</v>
      </c>
      <c r="C1113" t="s">
        <v>12</v>
      </c>
      <c r="D1113" t="s">
        <v>17</v>
      </c>
      <c r="E1113" s="7">
        <v>193336.84999999998</v>
      </c>
      <c r="F1113" s="7">
        <v>152789</v>
      </c>
      <c r="G1113" s="8">
        <f>Tabla1[[#This Row],[Ingresos]]-Tabla1[[#This Row],[Gastos]]</f>
        <v>40547.849999999977</v>
      </c>
      <c r="H1113" s="13">
        <f>Tabla1[[#This Row],[Beneficio]]/Tabla1[[#This Row],[Ingresos]]</f>
        <v>0.20972644376899688</v>
      </c>
    </row>
    <row r="1114" spans="1:8" x14ac:dyDescent="0.35">
      <c r="A1114" s="2">
        <v>43842</v>
      </c>
      <c r="B1114" t="s">
        <v>6</v>
      </c>
      <c r="C1114" t="s">
        <v>10</v>
      </c>
      <c r="D1114" t="s">
        <v>15</v>
      </c>
      <c r="E1114" s="7">
        <v>8430.9120000000003</v>
      </c>
      <c r="F1114" s="7">
        <v>6612.48</v>
      </c>
      <c r="G1114" s="8">
        <f>Tabla1[[#This Row],[Ingresos]]-Tabla1[[#This Row],[Gastos]]</f>
        <v>1818.4320000000007</v>
      </c>
      <c r="H1114" s="13">
        <f>Tabla1[[#This Row],[Beneficio]]/Tabla1[[#This Row],[Ingresos]]</f>
        <v>0.21568627450980399</v>
      </c>
    </row>
    <row r="1115" spans="1:8" x14ac:dyDescent="0.35">
      <c r="A1115" s="2">
        <v>43842</v>
      </c>
      <c r="B1115" t="s">
        <v>9</v>
      </c>
      <c r="C1115" t="s">
        <v>43</v>
      </c>
      <c r="D1115" t="s">
        <v>17</v>
      </c>
      <c r="E1115" s="7">
        <v>5150.1449999999995</v>
      </c>
      <c r="F1115" s="7">
        <v>3753.7499999999995</v>
      </c>
      <c r="G1115" s="8">
        <f>Tabla1[[#This Row],[Ingresos]]-Tabla1[[#This Row],[Gastos]]</f>
        <v>1396.395</v>
      </c>
      <c r="H1115" s="13">
        <f>Tabla1[[#This Row],[Beneficio]]/Tabla1[[#This Row],[Ingresos]]</f>
        <v>0.2711370262390671</v>
      </c>
    </row>
    <row r="1116" spans="1:8" x14ac:dyDescent="0.35">
      <c r="A1116" s="2">
        <v>43842</v>
      </c>
      <c r="B1116" t="s">
        <v>6</v>
      </c>
      <c r="C1116" t="s">
        <v>43</v>
      </c>
      <c r="D1116" t="s">
        <v>17</v>
      </c>
      <c r="E1116" s="7">
        <v>55007.147999999994</v>
      </c>
      <c r="F1116" s="7">
        <v>28354.199999999997</v>
      </c>
      <c r="G1116" s="8">
        <f>Tabla1[[#This Row],[Ingresos]]-Tabla1[[#This Row],[Gastos]]</f>
        <v>26652.947999999997</v>
      </c>
      <c r="H1116" s="13">
        <f>Tabla1[[#This Row],[Beneficio]]/Tabla1[[#This Row],[Ingresos]]</f>
        <v>0.4845360824742268</v>
      </c>
    </row>
    <row r="1117" spans="1:8" x14ac:dyDescent="0.35">
      <c r="A1117" s="2">
        <v>43842</v>
      </c>
      <c r="B1117" t="s">
        <v>7</v>
      </c>
      <c r="C1117" t="s">
        <v>12</v>
      </c>
      <c r="D1117" t="s">
        <v>18</v>
      </c>
      <c r="E1117" s="7">
        <v>41012.183519999999</v>
      </c>
      <c r="F1117" s="7">
        <v>34953.565499999997</v>
      </c>
      <c r="G1117" s="8">
        <f>Tabla1[[#This Row],[Ingresos]]-Tabla1[[#This Row],[Gastos]]</f>
        <v>6058.6180200000017</v>
      </c>
      <c r="H1117" s="13">
        <f>Tabla1[[#This Row],[Beneficio]]/Tabla1[[#This Row],[Ingresos]]</f>
        <v>0.14772727272727276</v>
      </c>
    </row>
    <row r="1118" spans="1:8" x14ac:dyDescent="0.35">
      <c r="A1118" s="2">
        <v>43843</v>
      </c>
      <c r="B1118" t="s">
        <v>5</v>
      </c>
      <c r="C1118" t="s">
        <v>11</v>
      </c>
      <c r="D1118" t="s">
        <v>15</v>
      </c>
      <c r="E1118" s="7">
        <v>14949.663749999998</v>
      </c>
      <c r="F1118" s="7">
        <v>11198.25</v>
      </c>
      <c r="G1118" s="8">
        <f>Tabla1[[#This Row],[Ingresos]]-Tabla1[[#This Row],[Gastos]]</f>
        <v>3751.4137499999979</v>
      </c>
      <c r="H1118" s="13">
        <f>Tabla1[[#This Row],[Beneficio]]/Tabla1[[#This Row],[Ingresos]]</f>
        <v>0.25093632958801487</v>
      </c>
    </row>
    <row r="1119" spans="1:8" x14ac:dyDescent="0.35">
      <c r="A1119" s="2">
        <v>43843</v>
      </c>
      <c r="B1119" t="s">
        <v>9</v>
      </c>
      <c r="C1119" t="s">
        <v>10</v>
      </c>
      <c r="D1119" t="s">
        <v>16</v>
      </c>
      <c r="E1119" s="7">
        <v>33761.538461538454</v>
      </c>
      <c r="F1119" s="7">
        <v>29567.999999999996</v>
      </c>
      <c r="G1119" s="8">
        <f>Tabla1[[#This Row],[Ingresos]]-Tabla1[[#This Row],[Gastos]]</f>
        <v>4193.5384615384573</v>
      </c>
      <c r="H1119" s="13">
        <f>Tabla1[[#This Row],[Beneficio]]/Tabla1[[#This Row],[Ingresos]]</f>
        <v>0.12421052631578938</v>
      </c>
    </row>
    <row r="1120" spans="1:8" x14ac:dyDescent="0.35">
      <c r="A1120" s="2">
        <v>43843</v>
      </c>
      <c r="B1120" t="s">
        <v>8</v>
      </c>
      <c r="C1120" t="s">
        <v>43</v>
      </c>
      <c r="D1120" t="s">
        <v>19</v>
      </c>
      <c r="E1120" s="7">
        <v>278054.32199999999</v>
      </c>
      <c r="F1120" s="7">
        <v>254628.49999999997</v>
      </c>
      <c r="G1120" s="8">
        <f>Tabla1[[#This Row],[Ingresos]]-Tabla1[[#This Row],[Gastos]]</f>
        <v>23425.822000000015</v>
      </c>
      <c r="H1120" s="13">
        <f>Tabla1[[#This Row],[Beneficio]]/Tabla1[[#This Row],[Ingresos]]</f>
        <v>8.4249084249084311E-2</v>
      </c>
    </row>
    <row r="1121" spans="1:8" x14ac:dyDescent="0.35">
      <c r="A1121" s="2">
        <v>43845</v>
      </c>
      <c r="B1121" t="s">
        <v>5</v>
      </c>
      <c r="C1121" t="s">
        <v>11</v>
      </c>
      <c r="D1121" t="s">
        <v>15</v>
      </c>
      <c r="E1121" s="7">
        <v>11724.772499999999</v>
      </c>
      <c r="F1121" s="7">
        <v>8984.5</v>
      </c>
      <c r="G1121" s="8">
        <f>Tabla1[[#This Row],[Ingresos]]-Tabla1[[#This Row],[Gastos]]</f>
        <v>2740.2724999999991</v>
      </c>
      <c r="H1121" s="13">
        <f>Tabla1[[#This Row],[Beneficio]]/Tabla1[[#This Row],[Ingresos]]</f>
        <v>0.23371647509578539</v>
      </c>
    </row>
    <row r="1122" spans="1:8" x14ac:dyDescent="0.35">
      <c r="A1122" s="2">
        <v>43845</v>
      </c>
      <c r="B1122" t="s">
        <v>7</v>
      </c>
      <c r="C1122" t="s">
        <v>11</v>
      </c>
      <c r="D1122" t="s">
        <v>17</v>
      </c>
      <c r="E1122" s="7">
        <v>3069.8989999999994</v>
      </c>
      <c r="F1122" s="7">
        <v>2332.75</v>
      </c>
      <c r="G1122" s="8">
        <f>Tabla1[[#This Row],[Ingresos]]-Tabla1[[#This Row],[Gastos]]</f>
        <v>737.14899999999943</v>
      </c>
      <c r="H1122" s="13">
        <f>Tabla1[[#This Row],[Beneficio]]/Tabla1[[#This Row],[Ingresos]]</f>
        <v>0.24012158054711233</v>
      </c>
    </row>
    <row r="1123" spans="1:8" x14ac:dyDescent="0.35">
      <c r="A1123" s="2">
        <v>43845</v>
      </c>
      <c r="B1123" t="s">
        <v>7</v>
      </c>
      <c r="C1123" t="s">
        <v>13</v>
      </c>
      <c r="D1123" t="s">
        <v>17</v>
      </c>
      <c r="E1123" s="7">
        <v>37504.6</v>
      </c>
      <c r="F1123" s="7">
        <v>31303.999999999996</v>
      </c>
      <c r="G1123" s="8">
        <f>Tabla1[[#This Row],[Ingresos]]-Tabla1[[#This Row],[Gastos]]</f>
        <v>6200.6000000000022</v>
      </c>
      <c r="H1123" s="13">
        <f>Tabla1[[#This Row],[Beneficio]]/Tabla1[[#This Row],[Ingresos]]</f>
        <v>0.16532905296950248</v>
      </c>
    </row>
    <row r="1124" spans="1:8" x14ac:dyDescent="0.35">
      <c r="A1124" s="2">
        <v>43845</v>
      </c>
      <c r="B1124" t="s">
        <v>9</v>
      </c>
      <c r="C1124" t="s">
        <v>10</v>
      </c>
      <c r="D1124" t="s">
        <v>17</v>
      </c>
      <c r="E1124" s="7">
        <v>18341.431499999999</v>
      </c>
      <c r="F1124" s="7">
        <v>9653.3850000000002</v>
      </c>
      <c r="G1124" s="8">
        <f>Tabla1[[#This Row],[Ingresos]]-Tabla1[[#This Row],[Gastos]]</f>
        <v>8688.0464999999986</v>
      </c>
      <c r="H1124" s="13">
        <f>Tabla1[[#This Row],[Beneficio]]/Tabla1[[#This Row],[Ingresos]]</f>
        <v>0.47368421052631576</v>
      </c>
    </row>
    <row r="1125" spans="1:8" x14ac:dyDescent="0.35">
      <c r="A1125" s="2">
        <v>43846</v>
      </c>
      <c r="B1125" t="s">
        <v>9</v>
      </c>
      <c r="C1125" t="s">
        <v>12</v>
      </c>
      <c r="D1125" t="s">
        <v>15</v>
      </c>
      <c r="E1125" s="7">
        <v>2366.6999999999998</v>
      </c>
      <c r="F1125" s="7">
        <v>1715</v>
      </c>
      <c r="G1125" s="8">
        <f>Tabla1[[#This Row],[Ingresos]]-Tabla1[[#This Row],[Gastos]]</f>
        <v>651.69999999999982</v>
      </c>
      <c r="H1125" s="13">
        <f>Tabla1[[#This Row],[Beneficio]]/Tabla1[[#This Row],[Ingresos]]</f>
        <v>0.27536231884057966</v>
      </c>
    </row>
    <row r="1126" spans="1:8" x14ac:dyDescent="0.35">
      <c r="A1126" s="2">
        <v>43846</v>
      </c>
      <c r="B1126" t="s">
        <v>7</v>
      </c>
      <c r="C1126" t="s">
        <v>43</v>
      </c>
      <c r="D1126" t="s">
        <v>17</v>
      </c>
      <c r="E1126" s="7">
        <v>24384.822000000004</v>
      </c>
      <c r="F1126" s="7">
        <v>12970.65</v>
      </c>
      <c r="G1126" s="8">
        <f>Tabla1[[#This Row],[Ingresos]]-Tabla1[[#This Row],[Gastos]]</f>
        <v>11414.172000000004</v>
      </c>
      <c r="H1126" s="13">
        <f>Tabla1[[#This Row],[Beneficio]]/Tabla1[[#This Row],[Ingresos]]</f>
        <v>0.46808510638297884</v>
      </c>
    </row>
    <row r="1127" spans="1:8" x14ac:dyDescent="0.35">
      <c r="A1127" s="2">
        <v>43847</v>
      </c>
      <c r="B1127" t="s">
        <v>6</v>
      </c>
      <c r="C1127" t="s">
        <v>12</v>
      </c>
      <c r="D1127" t="s">
        <v>17</v>
      </c>
      <c r="E1127" s="7">
        <v>1342377.4909999999</v>
      </c>
      <c r="F1127" s="7">
        <v>1017545.62</v>
      </c>
      <c r="G1127" s="8">
        <f>Tabla1[[#This Row],[Ingresos]]-Tabla1[[#This Row],[Gastos]]</f>
        <v>324831.87099999993</v>
      </c>
      <c r="H1127" s="13">
        <f>Tabla1[[#This Row],[Beneficio]]/Tabla1[[#This Row],[Ingresos]]</f>
        <v>0.24198250728862969</v>
      </c>
    </row>
    <row r="1128" spans="1:8" x14ac:dyDescent="0.35">
      <c r="A1128" s="2">
        <v>43849</v>
      </c>
      <c r="B1128" t="s">
        <v>9</v>
      </c>
      <c r="C1128" t="s">
        <v>12</v>
      </c>
      <c r="D1128" t="s">
        <v>17</v>
      </c>
      <c r="E1128" s="7">
        <v>3647.2169999999992</v>
      </c>
      <c r="F1128" s="7">
        <v>3029.25</v>
      </c>
      <c r="G1128" s="8">
        <f>Tabla1[[#This Row],[Ingresos]]-Tabla1[[#This Row],[Gastos]]</f>
        <v>617.96699999999919</v>
      </c>
      <c r="H1128" s="13">
        <f>Tabla1[[#This Row],[Beneficio]]/Tabla1[[#This Row],[Ingresos]]</f>
        <v>0.16943521594684366</v>
      </c>
    </row>
    <row r="1129" spans="1:8" x14ac:dyDescent="0.35">
      <c r="A1129" s="2">
        <v>43849</v>
      </c>
      <c r="B1129" t="s">
        <v>7</v>
      </c>
      <c r="C1129" t="s">
        <v>12</v>
      </c>
      <c r="D1129" t="s">
        <v>18</v>
      </c>
      <c r="E1129" s="7">
        <v>4569.3270000000002</v>
      </c>
      <c r="F1129" s="7">
        <v>3939.0749999999998</v>
      </c>
      <c r="G1129" s="8">
        <f>Tabla1[[#This Row],[Ingresos]]-Tabla1[[#This Row],[Gastos]]</f>
        <v>630.25200000000041</v>
      </c>
      <c r="H1129" s="13">
        <f>Tabla1[[#This Row],[Beneficio]]/Tabla1[[#This Row],[Ingresos]]</f>
        <v>0.1379310344827587</v>
      </c>
    </row>
    <row r="1130" spans="1:8" x14ac:dyDescent="0.35">
      <c r="A1130" s="2">
        <v>43850</v>
      </c>
      <c r="B1130" t="s">
        <v>6</v>
      </c>
      <c r="C1130" t="s">
        <v>10</v>
      </c>
      <c r="D1130" t="s">
        <v>17</v>
      </c>
      <c r="E1130" s="7">
        <v>6586.579999999999</v>
      </c>
      <c r="F1130" s="7">
        <v>3503.5</v>
      </c>
      <c r="G1130" s="8">
        <f>Tabla1[[#This Row],[Ingresos]]-Tabla1[[#This Row],[Gastos]]</f>
        <v>3083.079999999999</v>
      </c>
      <c r="H1130" s="13">
        <f>Tabla1[[#This Row],[Beneficio]]/Tabla1[[#This Row],[Ingresos]]</f>
        <v>0.46808510638297862</v>
      </c>
    </row>
    <row r="1131" spans="1:8" x14ac:dyDescent="0.35">
      <c r="A1131" s="2">
        <v>43850</v>
      </c>
      <c r="B1131" t="s">
        <v>7</v>
      </c>
      <c r="C1131" t="s">
        <v>43</v>
      </c>
      <c r="D1131" t="s">
        <v>17</v>
      </c>
      <c r="E1131" s="7">
        <v>7595.2799999999988</v>
      </c>
      <c r="F1131" s="7">
        <v>4315.5</v>
      </c>
      <c r="G1131" s="8">
        <f>Tabla1[[#This Row],[Ingresos]]-Tabla1[[#This Row],[Gastos]]</f>
        <v>3279.7799999999988</v>
      </c>
      <c r="H1131" s="13">
        <f>Tabla1[[#This Row],[Beneficio]]/Tabla1[[#This Row],[Ingresos]]</f>
        <v>0.43181818181818171</v>
      </c>
    </row>
    <row r="1132" spans="1:8" x14ac:dyDescent="0.35">
      <c r="A1132" s="2">
        <v>43853</v>
      </c>
      <c r="B1132" t="s">
        <v>5</v>
      </c>
      <c r="C1132" t="s">
        <v>11</v>
      </c>
      <c r="D1132" t="s">
        <v>17</v>
      </c>
      <c r="E1132" s="7">
        <v>83714.049999999988</v>
      </c>
      <c r="F1132" s="7">
        <v>66157</v>
      </c>
      <c r="G1132" s="8">
        <f>Tabla1[[#This Row],[Ingresos]]-Tabla1[[#This Row],[Gastos]]</f>
        <v>17557.049999999988</v>
      </c>
      <c r="H1132" s="13">
        <f>Tabla1[[#This Row],[Beneficio]]/Tabla1[[#This Row],[Ingresos]]</f>
        <v>0.20972644376899685</v>
      </c>
    </row>
    <row r="1133" spans="1:8" x14ac:dyDescent="0.35">
      <c r="A1133" s="2">
        <v>43853</v>
      </c>
      <c r="B1133" t="s">
        <v>6</v>
      </c>
      <c r="C1133" t="s">
        <v>12</v>
      </c>
      <c r="D1133" t="s">
        <v>19</v>
      </c>
      <c r="E1133" s="7">
        <v>203716.8</v>
      </c>
      <c r="F1133" s="7">
        <v>176837.5</v>
      </c>
      <c r="G1133" s="8">
        <f>Tabla1[[#This Row],[Ingresos]]-Tabla1[[#This Row],[Gastos]]</f>
        <v>26879.299999999988</v>
      </c>
      <c r="H1133" s="13">
        <f>Tabla1[[#This Row],[Beneficio]]/Tabla1[[#This Row],[Ingresos]]</f>
        <v>0.13194444444444439</v>
      </c>
    </row>
    <row r="1134" spans="1:8" x14ac:dyDescent="0.35">
      <c r="A1134" s="2">
        <v>43853</v>
      </c>
      <c r="B1134" t="s">
        <v>7</v>
      </c>
      <c r="C1134" t="s">
        <v>43</v>
      </c>
      <c r="D1134" t="s">
        <v>19</v>
      </c>
      <c r="E1134" s="7">
        <v>976410.16199999989</v>
      </c>
      <c r="F1134" s="7">
        <v>874919.5</v>
      </c>
      <c r="G1134" s="8">
        <f>Tabla1[[#This Row],[Ingresos]]-Tabla1[[#This Row],[Gastos]]</f>
        <v>101490.66199999989</v>
      </c>
      <c r="H1134" s="13">
        <f>Tabla1[[#This Row],[Beneficio]]/Tabla1[[#This Row],[Ingresos]]</f>
        <v>0.103942652329749</v>
      </c>
    </row>
    <row r="1135" spans="1:8" x14ac:dyDescent="0.35">
      <c r="A1135" s="2">
        <v>43854</v>
      </c>
      <c r="B1135" t="s">
        <v>8</v>
      </c>
      <c r="C1135" t="s">
        <v>43</v>
      </c>
      <c r="D1135" t="s">
        <v>16</v>
      </c>
      <c r="E1135" s="7">
        <v>14675.769230769229</v>
      </c>
      <c r="F1135" s="7">
        <v>6359.5</v>
      </c>
      <c r="G1135" s="8">
        <f>Tabla1[[#This Row],[Ingresos]]-Tabla1[[#This Row],[Gastos]]</f>
        <v>8316.2692307692287</v>
      </c>
      <c r="H1135" s="13">
        <f>Tabla1[[#This Row],[Beneficio]]/Tabla1[[#This Row],[Ingresos]]</f>
        <v>0.56666666666666665</v>
      </c>
    </row>
    <row r="1136" spans="1:8" x14ac:dyDescent="0.35">
      <c r="A1136" s="2">
        <v>43856</v>
      </c>
      <c r="B1136" t="s">
        <v>7</v>
      </c>
      <c r="C1136" t="s">
        <v>10</v>
      </c>
      <c r="D1136" t="s">
        <v>17</v>
      </c>
      <c r="E1136" s="7">
        <v>244507.64799999999</v>
      </c>
      <c r="F1136" s="7">
        <v>206402.55999999997</v>
      </c>
      <c r="G1136" s="8">
        <f>Tabla1[[#This Row],[Ingresos]]-Tabla1[[#This Row],[Gastos]]</f>
        <v>38105.088000000018</v>
      </c>
      <c r="H1136" s="13">
        <f>Tabla1[[#This Row],[Beneficio]]/Tabla1[[#This Row],[Ingresos]]</f>
        <v>0.15584415584415592</v>
      </c>
    </row>
    <row r="1137" spans="1:8" x14ac:dyDescent="0.35">
      <c r="A1137" s="2">
        <v>43858</v>
      </c>
      <c r="B1137" t="s">
        <v>9</v>
      </c>
      <c r="C1137" t="s">
        <v>43</v>
      </c>
      <c r="D1137" t="s">
        <v>16</v>
      </c>
      <c r="E1137" s="7">
        <v>33761.538461538454</v>
      </c>
      <c r="F1137" s="7">
        <v>29567.999999999996</v>
      </c>
      <c r="G1137" s="8">
        <f>Tabla1[[#This Row],[Ingresos]]-Tabla1[[#This Row],[Gastos]]</f>
        <v>4193.5384615384573</v>
      </c>
      <c r="H1137" s="13">
        <f>Tabla1[[#This Row],[Beneficio]]/Tabla1[[#This Row],[Ingresos]]</f>
        <v>0.12421052631578938</v>
      </c>
    </row>
    <row r="1138" spans="1:8" x14ac:dyDescent="0.35">
      <c r="A1138" s="2">
        <v>43859</v>
      </c>
      <c r="B1138" t="s">
        <v>7</v>
      </c>
      <c r="C1138" t="s">
        <v>10</v>
      </c>
      <c r="D1138" t="s">
        <v>15</v>
      </c>
      <c r="E1138" s="7">
        <v>14268.754500000001</v>
      </c>
      <c r="F1138" s="7">
        <v>11061.05</v>
      </c>
      <c r="G1138" s="8">
        <f>Tabla1[[#This Row],[Ingresos]]-Tabla1[[#This Row],[Gastos]]</f>
        <v>3207.7045000000016</v>
      </c>
      <c r="H1138" s="13">
        <f>Tabla1[[#This Row],[Beneficio]]/Tabla1[[#This Row],[Ingresos]]</f>
        <v>0.22480620155038769</v>
      </c>
    </row>
    <row r="1139" spans="1:8" x14ac:dyDescent="0.35">
      <c r="A1139" s="2">
        <v>43859</v>
      </c>
      <c r="B1139" t="s">
        <v>8</v>
      </c>
      <c r="C1139" t="s">
        <v>12</v>
      </c>
      <c r="D1139" t="s">
        <v>16</v>
      </c>
      <c r="E1139" s="7">
        <v>3711.0149999999994</v>
      </c>
      <c r="F1139" s="7">
        <v>2320.5</v>
      </c>
      <c r="G1139" s="8">
        <f>Tabla1[[#This Row],[Ingresos]]-Tabla1[[#This Row],[Gastos]]</f>
        <v>1390.5149999999994</v>
      </c>
      <c r="H1139" s="13">
        <f>Tabla1[[#This Row],[Beneficio]]/Tabla1[[#This Row],[Ingresos]]</f>
        <v>0.37469937469937459</v>
      </c>
    </row>
    <row r="1140" spans="1:8" x14ac:dyDescent="0.35">
      <c r="A1140" s="2">
        <v>43860</v>
      </c>
      <c r="B1140" t="s">
        <v>7</v>
      </c>
      <c r="C1140" t="s">
        <v>10</v>
      </c>
      <c r="D1140" t="s">
        <v>15</v>
      </c>
      <c r="E1140" s="7">
        <v>7630.5599999999986</v>
      </c>
      <c r="F1140" s="7">
        <v>5299</v>
      </c>
      <c r="G1140" s="8">
        <f>Tabla1[[#This Row],[Ingresos]]-Tabla1[[#This Row],[Gastos]]</f>
        <v>2331.5599999999986</v>
      </c>
      <c r="H1140" s="13">
        <f>Tabla1[[#This Row],[Beneficio]]/Tabla1[[#This Row],[Ingresos]]</f>
        <v>0.30555555555555541</v>
      </c>
    </row>
    <row r="1141" spans="1:8" x14ac:dyDescent="0.35">
      <c r="A1141" s="2">
        <v>43860</v>
      </c>
      <c r="B1141" t="s">
        <v>8</v>
      </c>
      <c r="C1141" t="s">
        <v>12</v>
      </c>
      <c r="D1141" t="s">
        <v>17</v>
      </c>
      <c r="E1141" s="7">
        <v>993190.79999999993</v>
      </c>
      <c r="F1141" s="7">
        <v>768540.5</v>
      </c>
      <c r="G1141" s="8">
        <f>Tabla1[[#This Row],[Ingresos]]-Tabla1[[#This Row],[Gastos]]</f>
        <v>224650.29999999993</v>
      </c>
      <c r="H1141" s="13">
        <f>Tabla1[[#This Row],[Beneficio]]/Tabla1[[#This Row],[Ingresos]]</f>
        <v>0.22619047619047614</v>
      </c>
    </row>
    <row r="1142" spans="1:8" x14ac:dyDescent="0.35">
      <c r="A1142" s="2">
        <v>43861</v>
      </c>
      <c r="B1142" t="s">
        <v>8</v>
      </c>
      <c r="C1142" t="s">
        <v>43</v>
      </c>
      <c r="D1142" t="s">
        <v>17</v>
      </c>
      <c r="E1142" s="7">
        <v>13587.3696</v>
      </c>
      <c r="F1142" s="7">
        <v>7384.44</v>
      </c>
      <c r="G1142" s="8">
        <f>Tabla1[[#This Row],[Ingresos]]-Tabla1[[#This Row],[Gastos]]</f>
        <v>6202.9296000000004</v>
      </c>
      <c r="H1142" s="13">
        <f>Tabla1[[#This Row],[Beneficio]]/Tabla1[[#This Row],[Ingresos]]</f>
        <v>0.45652173913043481</v>
      </c>
    </row>
    <row r="1143" spans="1:8" x14ac:dyDescent="0.35">
      <c r="A1143" s="2">
        <v>43861</v>
      </c>
      <c r="B1143" t="s">
        <v>6</v>
      </c>
      <c r="C1143" t="s">
        <v>12</v>
      </c>
      <c r="D1143" t="s">
        <v>17</v>
      </c>
      <c r="E1143" s="7">
        <v>437048.68900000001</v>
      </c>
      <c r="F1143" s="7">
        <v>377517.13999999996</v>
      </c>
      <c r="G1143" s="8">
        <f>Tabla1[[#This Row],[Ingresos]]-Tabla1[[#This Row],[Gastos]]</f>
        <v>59531.549000000057</v>
      </c>
      <c r="H1143" s="13">
        <f>Tabla1[[#This Row],[Beneficio]]/Tabla1[[#This Row],[Ingresos]]</f>
        <v>0.13621262458471772</v>
      </c>
    </row>
    <row r="1144" spans="1:8" x14ac:dyDescent="0.35">
      <c r="A1144" s="2">
        <v>43861</v>
      </c>
      <c r="B1144" t="s">
        <v>8</v>
      </c>
      <c r="C1144" t="s">
        <v>43</v>
      </c>
      <c r="D1144" t="s">
        <v>18</v>
      </c>
      <c r="E1144" s="7">
        <v>40933.791360000003</v>
      </c>
      <c r="F1144" s="7">
        <v>34494.768000000004</v>
      </c>
      <c r="G1144" s="8">
        <f>Tabla1[[#This Row],[Ingresos]]-Tabla1[[#This Row],[Gastos]]</f>
        <v>6439.0233599999992</v>
      </c>
      <c r="H1144" s="13">
        <f>Tabla1[[#This Row],[Beneficio]]/Tabla1[[#This Row],[Ingresos]]</f>
        <v>0.15730337078651682</v>
      </c>
    </row>
    <row r="1145" spans="1:8" x14ac:dyDescent="0.35">
      <c r="A1145" s="2">
        <v>43862</v>
      </c>
      <c r="B1145" t="s">
        <v>6</v>
      </c>
      <c r="C1145" t="s">
        <v>43</v>
      </c>
      <c r="D1145" t="s">
        <v>15</v>
      </c>
      <c r="E1145" s="7">
        <v>10193.242499999998</v>
      </c>
      <c r="F1145" s="7">
        <v>7229.2499999999991</v>
      </c>
      <c r="G1145" s="8">
        <f>Tabla1[[#This Row],[Ingresos]]-Tabla1[[#This Row],[Gastos]]</f>
        <v>2963.9924999999994</v>
      </c>
      <c r="H1145" s="13">
        <f>Tabla1[[#This Row],[Beneficio]]/Tabla1[[#This Row],[Ingresos]]</f>
        <v>0.29078014184397161</v>
      </c>
    </row>
    <row r="1146" spans="1:8" x14ac:dyDescent="0.35">
      <c r="A1146" s="2">
        <v>43863</v>
      </c>
      <c r="B1146" t="s">
        <v>8</v>
      </c>
      <c r="C1146" t="s">
        <v>10</v>
      </c>
      <c r="D1146" t="s">
        <v>19</v>
      </c>
      <c r="E1146" s="7">
        <v>108794.133</v>
      </c>
      <c r="F1146" s="7">
        <v>93465.75</v>
      </c>
      <c r="G1146" s="8">
        <f>Tabla1[[#This Row],[Ingresos]]-Tabla1[[#This Row],[Gastos]]</f>
        <v>15328.383000000002</v>
      </c>
      <c r="H1146" s="13">
        <f>Tabla1[[#This Row],[Beneficio]]/Tabla1[[#This Row],[Ingresos]]</f>
        <v>0.14089347079037801</v>
      </c>
    </row>
    <row r="1147" spans="1:8" x14ac:dyDescent="0.35">
      <c r="A1147" s="2">
        <v>43864</v>
      </c>
      <c r="B1147" t="s">
        <v>8</v>
      </c>
      <c r="C1147" t="s">
        <v>11</v>
      </c>
      <c r="D1147" t="s">
        <v>16</v>
      </c>
      <c r="E1147" s="7">
        <v>212943.6346153846</v>
      </c>
      <c r="F1147" s="7">
        <v>208434.24</v>
      </c>
      <c r="G1147" s="8">
        <f>Tabla1[[#This Row],[Ingresos]]-Tabla1[[#This Row],[Gastos]]</f>
        <v>4509.3946153846045</v>
      </c>
      <c r="H1147" s="13">
        <f>Tabla1[[#This Row],[Beneficio]]/Tabla1[[#This Row],[Ingresos]]</f>
        <v>2.1176470588235245E-2</v>
      </c>
    </row>
    <row r="1148" spans="1:8" x14ac:dyDescent="0.35">
      <c r="A1148" s="2">
        <v>43864</v>
      </c>
      <c r="B1148" t="s">
        <v>6</v>
      </c>
      <c r="C1148" t="s">
        <v>12</v>
      </c>
      <c r="D1148" t="s">
        <v>17</v>
      </c>
      <c r="E1148" s="7">
        <v>126314.65</v>
      </c>
      <c r="F1148" s="7">
        <v>109109</v>
      </c>
      <c r="G1148" s="8">
        <f>Tabla1[[#This Row],[Ingresos]]-Tabla1[[#This Row],[Gastos]]</f>
        <v>17205.649999999994</v>
      </c>
      <c r="H1148" s="13">
        <f>Tabla1[[#This Row],[Beneficio]]/Tabla1[[#This Row],[Ingresos]]</f>
        <v>0.13621262458471756</v>
      </c>
    </row>
    <row r="1149" spans="1:8" x14ac:dyDescent="0.35">
      <c r="A1149" s="2">
        <v>43864</v>
      </c>
      <c r="B1149" t="s">
        <v>7</v>
      </c>
      <c r="C1149" t="s">
        <v>13</v>
      </c>
      <c r="D1149" t="s">
        <v>17</v>
      </c>
      <c r="E1149" s="7">
        <v>606472.0199999999</v>
      </c>
      <c r="F1149" s="7">
        <v>511956.89999999997</v>
      </c>
      <c r="G1149" s="8">
        <f>Tabla1[[#This Row],[Ingresos]]-Tabla1[[#This Row],[Gastos]]</f>
        <v>94515.119999999937</v>
      </c>
      <c r="H1149" s="13">
        <f>Tabla1[[#This Row],[Beneficio]]/Tabla1[[#This Row],[Ingresos]]</f>
        <v>0.15584415584415576</v>
      </c>
    </row>
    <row r="1150" spans="1:8" x14ac:dyDescent="0.35">
      <c r="A1150" s="2">
        <v>43864</v>
      </c>
      <c r="B1150" t="s">
        <v>9</v>
      </c>
      <c r="C1150" t="s">
        <v>10</v>
      </c>
      <c r="D1150" t="s">
        <v>19</v>
      </c>
      <c r="E1150" s="7">
        <v>80608.5</v>
      </c>
      <c r="F1150" s="7">
        <v>74637.5</v>
      </c>
      <c r="G1150" s="8">
        <f>Tabla1[[#This Row],[Ingresos]]-Tabla1[[#This Row],[Gastos]]</f>
        <v>5971</v>
      </c>
      <c r="H1150" s="13">
        <f>Tabla1[[#This Row],[Beneficio]]/Tabla1[[#This Row],[Ingresos]]</f>
        <v>7.407407407407407E-2</v>
      </c>
    </row>
    <row r="1151" spans="1:8" x14ac:dyDescent="0.35">
      <c r="A1151" s="2">
        <v>43866</v>
      </c>
      <c r="B1151" t="s">
        <v>6</v>
      </c>
      <c r="C1151" t="s">
        <v>10</v>
      </c>
      <c r="D1151" t="s">
        <v>16</v>
      </c>
      <c r="E1151" s="7">
        <v>385103.6639423077</v>
      </c>
      <c r="F1151" s="7">
        <v>330315.72000000003</v>
      </c>
      <c r="G1151" s="8">
        <f>Tabla1[[#This Row],[Ingresos]]-Tabla1[[#This Row],[Gastos]]</f>
        <v>54787.943942307669</v>
      </c>
      <c r="H1151" s="13">
        <f>Tabla1[[#This Row],[Beneficio]]/Tabla1[[#This Row],[Ingresos]]</f>
        <v>0.14226804123711334</v>
      </c>
    </row>
    <row r="1152" spans="1:8" x14ac:dyDescent="0.35">
      <c r="A1152" s="2">
        <v>43866</v>
      </c>
      <c r="B1152" t="s">
        <v>5</v>
      </c>
      <c r="C1152" t="s">
        <v>13</v>
      </c>
      <c r="D1152" t="s">
        <v>17</v>
      </c>
      <c r="E1152" s="7">
        <v>24021.068609999998</v>
      </c>
      <c r="F1152" s="7">
        <v>17508.067500000001</v>
      </c>
      <c r="G1152" s="8">
        <f>Tabla1[[#This Row],[Ingresos]]-Tabla1[[#This Row],[Gastos]]</f>
        <v>6513.0011099999974</v>
      </c>
      <c r="H1152" s="13">
        <f>Tabla1[[#This Row],[Beneficio]]/Tabla1[[#This Row],[Ingresos]]</f>
        <v>0.27113702623906699</v>
      </c>
    </row>
    <row r="1153" spans="1:8" x14ac:dyDescent="0.35">
      <c r="A1153" s="2">
        <v>43868</v>
      </c>
      <c r="B1153" t="s">
        <v>7</v>
      </c>
      <c r="C1153" t="s">
        <v>43</v>
      </c>
      <c r="D1153" t="s">
        <v>17</v>
      </c>
      <c r="E1153" s="7">
        <v>38794.014000000003</v>
      </c>
      <c r="F1153" s="7">
        <v>21552.23</v>
      </c>
      <c r="G1153" s="8">
        <f>Tabla1[[#This Row],[Ingresos]]-Tabla1[[#This Row],[Gastos]]</f>
        <v>17241.784000000003</v>
      </c>
      <c r="H1153" s="13">
        <f>Tabla1[[#This Row],[Beneficio]]/Tabla1[[#This Row],[Ingresos]]</f>
        <v>0.44444444444444448</v>
      </c>
    </row>
    <row r="1154" spans="1:8" x14ac:dyDescent="0.35">
      <c r="A1154" s="2">
        <v>43870</v>
      </c>
      <c r="B1154" t="s">
        <v>6</v>
      </c>
      <c r="C1154" t="s">
        <v>13</v>
      </c>
      <c r="D1154" t="s">
        <v>17</v>
      </c>
      <c r="E1154" s="7">
        <v>47159.604800000001</v>
      </c>
      <c r="F1154" s="7">
        <v>26494.16</v>
      </c>
      <c r="G1154" s="8">
        <f>Tabla1[[#This Row],[Ingresos]]-Tabla1[[#This Row],[Gastos]]</f>
        <v>20665.444800000001</v>
      </c>
      <c r="H1154" s="13">
        <f>Tabla1[[#This Row],[Beneficio]]/Tabla1[[#This Row],[Ingresos]]</f>
        <v>0.43820224719101125</v>
      </c>
    </row>
    <row r="1155" spans="1:8" x14ac:dyDescent="0.35">
      <c r="A1155" s="2">
        <v>43870</v>
      </c>
      <c r="B1155" t="s">
        <v>6</v>
      </c>
      <c r="C1155" t="s">
        <v>13</v>
      </c>
      <c r="D1155" t="s">
        <v>19</v>
      </c>
      <c r="E1155" s="7">
        <v>187366.31549999997</v>
      </c>
      <c r="F1155" s="7">
        <v>160967.625</v>
      </c>
      <c r="G1155" s="8">
        <f>Tabla1[[#This Row],[Ingresos]]-Tabla1[[#This Row],[Gastos]]</f>
        <v>26398.690499999968</v>
      </c>
      <c r="H1155" s="13">
        <f>Tabla1[[#This Row],[Beneficio]]/Tabla1[[#This Row],[Ingresos]]</f>
        <v>0.14089347079037787</v>
      </c>
    </row>
    <row r="1156" spans="1:8" x14ac:dyDescent="0.35">
      <c r="A1156" s="2">
        <v>43871</v>
      </c>
      <c r="B1156" t="s">
        <v>6</v>
      </c>
      <c r="C1156" t="s">
        <v>43</v>
      </c>
      <c r="D1156" t="s">
        <v>15</v>
      </c>
      <c r="E1156" s="7">
        <v>3723.1424999999999</v>
      </c>
      <c r="F1156" s="7">
        <v>2482.0949999999998</v>
      </c>
      <c r="G1156" s="8">
        <f>Tabla1[[#This Row],[Ingresos]]-Tabla1[[#This Row],[Gastos]]</f>
        <v>1241.0475000000001</v>
      </c>
      <c r="H1156" s="13">
        <f>Tabla1[[#This Row],[Beneficio]]/Tabla1[[#This Row],[Ingresos]]</f>
        <v>0.33333333333333337</v>
      </c>
    </row>
    <row r="1157" spans="1:8" x14ac:dyDescent="0.35">
      <c r="A1157" s="2">
        <v>43872</v>
      </c>
      <c r="B1157" t="s">
        <v>9</v>
      </c>
      <c r="C1157" t="s">
        <v>11</v>
      </c>
      <c r="D1157" t="s">
        <v>17</v>
      </c>
      <c r="E1157" s="7">
        <v>66984.372000000003</v>
      </c>
      <c r="F1157" s="7">
        <v>54086.76</v>
      </c>
      <c r="G1157" s="8">
        <f>Tabla1[[#This Row],[Ingresos]]-Tabla1[[#This Row],[Gastos]]</f>
        <v>12897.612000000001</v>
      </c>
      <c r="H1157" s="13">
        <f>Tabla1[[#This Row],[Beneficio]]/Tabla1[[#This Row],[Ingresos]]</f>
        <v>0.19254658385093168</v>
      </c>
    </row>
    <row r="1158" spans="1:8" x14ac:dyDescent="0.35">
      <c r="A1158" s="2">
        <v>43874</v>
      </c>
      <c r="B1158" t="s">
        <v>8</v>
      </c>
      <c r="C1158" t="s">
        <v>10</v>
      </c>
      <c r="D1158" t="s">
        <v>17</v>
      </c>
      <c r="E1158" s="7">
        <v>446594.01150000002</v>
      </c>
      <c r="F1158" s="7">
        <v>381328.22</v>
      </c>
      <c r="G1158" s="8">
        <f>Tabla1[[#This Row],[Ingresos]]-Tabla1[[#This Row],[Gastos]]</f>
        <v>65265.79150000005</v>
      </c>
      <c r="H1158" s="13">
        <f>Tabla1[[#This Row],[Beneficio]]/Tabla1[[#This Row],[Ingresos]]</f>
        <v>0.14614121510673245</v>
      </c>
    </row>
    <row r="1159" spans="1:8" x14ac:dyDescent="0.35">
      <c r="A1159" s="2">
        <v>43874</v>
      </c>
      <c r="B1159" t="s">
        <v>8</v>
      </c>
      <c r="C1159" t="s">
        <v>10</v>
      </c>
      <c r="D1159" t="s">
        <v>19</v>
      </c>
      <c r="E1159" s="7">
        <v>166200.29999999999</v>
      </c>
      <c r="F1159" s="7">
        <v>148925</v>
      </c>
      <c r="G1159" s="8">
        <f>Tabla1[[#This Row],[Ingresos]]-Tabla1[[#This Row],[Gastos]]</f>
        <v>17275.299999999988</v>
      </c>
      <c r="H1159" s="13">
        <f>Tabla1[[#This Row],[Beneficio]]/Tabla1[[#This Row],[Ingresos]]</f>
        <v>0.10394265232974904</v>
      </c>
    </row>
    <row r="1160" spans="1:8" x14ac:dyDescent="0.35">
      <c r="A1160" s="2">
        <v>43875</v>
      </c>
      <c r="B1160" t="s">
        <v>6</v>
      </c>
      <c r="C1160" t="s">
        <v>43</v>
      </c>
      <c r="D1160" t="s">
        <v>15</v>
      </c>
      <c r="E1160" s="7">
        <v>3087.7181999999998</v>
      </c>
      <c r="F1160" s="7">
        <v>2393.58</v>
      </c>
      <c r="G1160" s="8">
        <f>Tabla1[[#This Row],[Ingresos]]-Tabla1[[#This Row],[Gastos]]</f>
        <v>694.13819999999987</v>
      </c>
      <c r="H1160" s="13">
        <f>Tabla1[[#This Row],[Beneficio]]/Tabla1[[#This Row],[Ingresos]]</f>
        <v>0.22480620155038758</v>
      </c>
    </row>
    <row r="1161" spans="1:8" x14ac:dyDescent="0.35">
      <c r="A1161" s="2">
        <v>43876</v>
      </c>
      <c r="B1161" t="s">
        <v>9</v>
      </c>
      <c r="C1161" t="s">
        <v>13</v>
      </c>
      <c r="D1161" t="s">
        <v>17</v>
      </c>
      <c r="E1161" s="7">
        <v>4951.4852799999999</v>
      </c>
      <c r="F1161" s="7">
        <v>3646.16</v>
      </c>
      <c r="G1161" s="8">
        <f>Tabla1[[#This Row],[Ingresos]]-Tabla1[[#This Row],[Gastos]]</f>
        <v>1305.32528</v>
      </c>
      <c r="H1161" s="13">
        <f>Tabla1[[#This Row],[Beneficio]]/Tabla1[[#This Row],[Ingresos]]</f>
        <v>0.26362297496318116</v>
      </c>
    </row>
    <row r="1162" spans="1:8" x14ac:dyDescent="0.35">
      <c r="A1162" s="2">
        <v>43876</v>
      </c>
      <c r="B1162" t="s">
        <v>5</v>
      </c>
      <c r="C1162" t="s">
        <v>10</v>
      </c>
      <c r="D1162" t="s">
        <v>18</v>
      </c>
      <c r="E1162" s="7">
        <v>7475.8319999999994</v>
      </c>
      <c r="F1162" s="7">
        <v>6161.4</v>
      </c>
      <c r="G1162" s="8">
        <f>Tabla1[[#This Row],[Ingresos]]-Tabla1[[#This Row],[Gastos]]</f>
        <v>1314.4319999999998</v>
      </c>
      <c r="H1162" s="13">
        <f>Tabla1[[#This Row],[Beneficio]]/Tabla1[[#This Row],[Ingresos]]</f>
        <v>0.17582417582417581</v>
      </c>
    </row>
    <row r="1163" spans="1:8" x14ac:dyDescent="0.35">
      <c r="A1163" s="2">
        <v>43878</v>
      </c>
      <c r="B1163" t="s">
        <v>5</v>
      </c>
      <c r="C1163" t="s">
        <v>12</v>
      </c>
      <c r="D1163" t="s">
        <v>17</v>
      </c>
      <c r="E1163" s="7">
        <v>9250.7099999999991</v>
      </c>
      <c r="F1163" s="7">
        <v>4973.5</v>
      </c>
      <c r="G1163" s="8">
        <f>Tabla1[[#This Row],[Ingresos]]-Tabla1[[#This Row],[Gastos]]</f>
        <v>4277.2099999999991</v>
      </c>
      <c r="H1163" s="13">
        <f>Tabla1[[#This Row],[Beneficio]]/Tabla1[[#This Row],[Ingresos]]</f>
        <v>0.46236559139784938</v>
      </c>
    </row>
    <row r="1164" spans="1:8" x14ac:dyDescent="0.35">
      <c r="A1164" s="2">
        <v>43879</v>
      </c>
      <c r="B1164" t="s">
        <v>5</v>
      </c>
      <c r="C1164" t="s">
        <v>13</v>
      </c>
      <c r="D1164" t="s">
        <v>17</v>
      </c>
      <c r="E1164" s="7">
        <v>32222.399999999998</v>
      </c>
      <c r="F1164" s="7">
        <v>24934</v>
      </c>
      <c r="G1164" s="8">
        <f>Tabla1[[#This Row],[Ingresos]]-Tabla1[[#This Row],[Gastos]]</f>
        <v>7288.3999999999978</v>
      </c>
      <c r="H1164" s="13">
        <f>Tabla1[[#This Row],[Beneficio]]/Tabla1[[#This Row],[Ingresos]]</f>
        <v>0.22619047619047614</v>
      </c>
    </row>
    <row r="1165" spans="1:8" x14ac:dyDescent="0.35">
      <c r="A1165" s="2">
        <v>43879</v>
      </c>
      <c r="B1165" t="s">
        <v>8</v>
      </c>
      <c r="C1165" t="s">
        <v>13</v>
      </c>
      <c r="D1165" t="s">
        <v>17</v>
      </c>
      <c r="E1165" s="7">
        <v>3604.5869999999995</v>
      </c>
      <c r="F1165" s="7">
        <v>2768.5</v>
      </c>
      <c r="G1165" s="8">
        <f>Tabla1[[#This Row],[Ingresos]]-Tabla1[[#This Row],[Gastos]]</f>
        <v>836.08699999999953</v>
      </c>
      <c r="H1165" s="13">
        <f>Tabla1[[#This Row],[Beneficio]]/Tabla1[[#This Row],[Ingresos]]</f>
        <v>0.23195084485407055</v>
      </c>
    </row>
    <row r="1166" spans="1:8" x14ac:dyDescent="0.35">
      <c r="A1166" s="2">
        <v>43880</v>
      </c>
      <c r="B1166" t="s">
        <v>7</v>
      </c>
      <c r="C1166" t="s">
        <v>43</v>
      </c>
      <c r="D1166" t="s">
        <v>15</v>
      </c>
      <c r="E1166" s="7">
        <v>24188.875199999999</v>
      </c>
      <c r="F1166" s="7">
        <v>16797.830000000002</v>
      </c>
      <c r="G1166" s="8">
        <f>Tabla1[[#This Row],[Ingresos]]-Tabla1[[#This Row],[Gastos]]</f>
        <v>7391.0451999999968</v>
      </c>
      <c r="H1166" s="13">
        <f>Tabla1[[#This Row],[Beneficio]]/Tabla1[[#This Row],[Ingresos]]</f>
        <v>0.30555555555555547</v>
      </c>
    </row>
    <row r="1167" spans="1:8" x14ac:dyDescent="0.35">
      <c r="A1167" s="2">
        <v>43880</v>
      </c>
      <c r="B1167" t="s">
        <v>7</v>
      </c>
      <c r="C1167" t="s">
        <v>43</v>
      </c>
      <c r="D1167" t="s">
        <v>16</v>
      </c>
      <c r="E1167" s="7">
        <v>68809.851923076931</v>
      </c>
      <c r="F1167" s="7">
        <v>62228.039999999994</v>
      </c>
      <c r="G1167" s="8">
        <f>Tabla1[[#This Row],[Ingresos]]-Tabla1[[#This Row],[Gastos]]</f>
        <v>6581.8119230769371</v>
      </c>
      <c r="H1167" s="13">
        <f>Tabla1[[#This Row],[Beneficio]]/Tabla1[[#This Row],[Ingresos]]</f>
        <v>9.5652173913043675E-2</v>
      </c>
    </row>
    <row r="1168" spans="1:8" x14ac:dyDescent="0.35">
      <c r="A1168" s="2">
        <v>43880</v>
      </c>
      <c r="B1168" t="s">
        <v>6</v>
      </c>
      <c r="C1168" t="s">
        <v>43</v>
      </c>
      <c r="D1168" t="s">
        <v>16</v>
      </c>
      <c r="E1168" s="7">
        <v>4766.1923076923067</v>
      </c>
      <c r="F1168" s="7">
        <v>2950.5</v>
      </c>
      <c r="G1168" s="8">
        <f>Tabla1[[#This Row],[Ingresos]]-Tabla1[[#This Row],[Gastos]]</f>
        <v>1815.6923076923067</v>
      </c>
      <c r="H1168" s="13">
        <f>Tabla1[[#This Row],[Beneficio]]/Tabla1[[#This Row],[Ingresos]]</f>
        <v>0.38095238095238082</v>
      </c>
    </row>
    <row r="1169" spans="1:8" x14ac:dyDescent="0.35">
      <c r="A1169" s="2">
        <v>43881</v>
      </c>
      <c r="B1169" t="s">
        <v>8</v>
      </c>
      <c r="C1169" t="s">
        <v>43</v>
      </c>
      <c r="D1169" t="s">
        <v>15</v>
      </c>
      <c r="E1169" s="7">
        <v>31321.187099999999</v>
      </c>
      <c r="F1169" s="7">
        <v>24279.989999999998</v>
      </c>
      <c r="G1169" s="8">
        <f>Tabla1[[#This Row],[Ingresos]]-Tabla1[[#This Row],[Gastos]]</f>
        <v>7041.1971000000012</v>
      </c>
      <c r="H1169" s="13">
        <f>Tabla1[[#This Row],[Beneficio]]/Tabla1[[#This Row],[Ingresos]]</f>
        <v>0.22480620155038764</v>
      </c>
    </row>
    <row r="1170" spans="1:8" x14ac:dyDescent="0.35">
      <c r="A1170" s="2">
        <v>43881</v>
      </c>
      <c r="B1170" t="s">
        <v>6</v>
      </c>
      <c r="C1170" t="s">
        <v>10</v>
      </c>
      <c r="D1170" t="s">
        <v>16</v>
      </c>
      <c r="E1170" s="7">
        <v>75339.620192307688</v>
      </c>
      <c r="F1170" s="7">
        <v>64621.2</v>
      </c>
      <c r="G1170" s="8">
        <f>Tabla1[[#This Row],[Ingresos]]-Tabla1[[#This Row],[Gastos]]</f>
        <v>10718.420192307691</v>
      </c>
      <c r="H1170" s="13">
        <f>Tabla1[[#This Row],[Beneficio]]/Tabla1[[#This Row],[Ingresos]]</f>
        <v>0.1422680412371134</v>
      </c>
    </row>
    <row r="1171" spans="1:8" x14ac:dyDescent="0.35">
      <c r="A1171" s="2">
        <v>43881</v>
      </c>
      <c r="B1171" t="s">
        <v>9</v>
      </c>
      <c r="C1171" t="s">
        <v>10</v>
      </c>
      <c r="D1171" t="s">
        <v>18</v>
      </c>
      <c r="E1171" s="7">
        <v>2561.2750799999999</v>
      </c>
      <c r="F1171" s="7">
        <v>2110.9409999999998</v>
      </c>
      <c r="G1171" s="8">
        <f>Tabla1[[#This Row],[Ingresos]]-Tabla1[[#This Row],[Gastos]]</f>
        <v>450.33408000000009</v>
      </c>
      <c r="H1171" s="13">
        <f>Tabla1[[#This Row],[Beneficio]]/Tabla1[[#This Row],[Ingresos]]</f>
        <v>0.17582417582417587</v>
      </c>
    </row>
    <row r="1172" spans="1:8" x14ac:dyDescent="0.35">
      <c r="A1172" s="2">
        <v>43882</v>
      </c>
      <c r="B1172" t="s">
        <v>5</v>
      </c>
      <c r="C1172" t="s">
        <v>13</v>
      </c>
      <c r="D1172" t="s">
        <v>17</v>
      </c>
      <c r="E1172" s="7">
        <v>8478.9599999999991</v>
      </c>
      <c r="F1172" s="7">
        <v>4326</v>
      </c>
      <c r="G1172" s="8">
        <f>Tabla1[[#This Row],[Ingresos]]-Tabla1[[#This Row],[Gastos]]</f>
        <v>4152.9599999999991</v>
      </c>
      <c r="H1172" s="13">
        <f>Tabla1[[#This Row],[Beneficio]]/Tabla1[[#This Row],[Ingresos]]</f>
        <v>0.48979591836734687</v>
      </c>
    </row>
    <row r="1173" spans="1:8" x14ac:dyDescent="0.35">
      <c r="A1173" s="2">
        <v>43884</v>
      </c>
      <c r="B1173" t="s">
        <v>7</v>
      </c>
      <c r="C1173" t="s">
        <v>12</v>
      </c>
      <c r="D1173" t="s">
        <v>17</v>
      </c>
      <c r="E1173" s="7">
        <v>15282.913800000002</v>
      </c>
      <c r="F1173" s="7">
        <v>12693.449999999999</v>
      </c>
      <c r="G1173" s="8">
        <f>Tabla1[[#This Row],[Ingresos]]-Tabla1[[#This Row],[Gastos]]</f>
        <v>2589.4638000000032</v>
      </c>
      <c r="H1173" s="13">
        <f>Tabla1[[#This Row],[Beneficio]]/Tabla1[[#This Row],[Ingresos]]</f>
        <v>0.16943521594684405</v>
      </c>
    </row>
    <row r="1174" spans="1:8" x14ac:dyDescent="0.35">
      <c r="A1174" s="2">
        <v>43885</v>
      </c>
      <c r="B1174" t="s">
        <v>7</v>
      </c>
      <c r="C1174" t="s">
        <v>11</v>
      </c>
      <c r="D1174" t="s">
        <v>17</v>
      </c>
      <c r="E1174" s="7">
        <v>1565.1999999999998</v>
      </c>
      <c r="F1174" s="7">
        <v>909.99999999999989</v>
      </c>
      <c r="G1174" s="8">
        <f>Tabla1[[#This Row],[Ingresos]]-Tabla1[[#This Row],[Gastos]]</f>
        <v>655.19999999999993</v>
      </c>
      <c r="H1174" s="13">
        <f>Tabla1[[#This Row],[Beneficio]]/Tabla1[[#This Row],[Ingresos]]</f>
        <v>0.41860465116279072</v>
      </c>
    </row>
    <row r="1175" spans="1:8" x14ac:dyDescent="0.35">
      <c r="A1175" s="2">
        <v>43886</v>
      </c>
      <c r="B1175" t="s">
        <v>9</v>
      </c>
      <c r="C1175" t="s">
        <v>12</v>
      </c>
      <c r="D1175" t="s">
        <v>16</v>
      </c>
      <c r="E1175" s="7">
        <v>93697.052884615376</v>
      </c>
      <c r="F1175" s="7">
        <v>91712.88</v>
      </c>
      <c r="G1175" s="8">
        <f>Tabla1[[#This Row],[Ingresos]]-Tabla1[[#This Row],[Gastos]]</f>
        <v>1984.172884615371</v>
      </c>
      <c r="H1175" s="13">
        <f>Tabla1[[#This Row],[Beneficio]]/Tabla1[[#This Row],[Ingresos]]</f>
        <v>2.1176470588235151E-2</v>
      </c>
    </row>
    <row r="1176" spans="1:8" x14ac:dyDescent="0.35">
      <c r="A1176" s="2">
        <v>43886</v>
      </c>
      <c r="B1176" t="s">
        <v>8</v>
      </c>
      <c r="C1176" t="s">
        <v>10</v>
      </c>
      <c r="D1176" t="s">
        <v>17</v>
      </c>
      <c r="E1176" s="7">
        <v>1825.9604999999997</v>
      </c>
      <c r="F1176" s="7">
        <v>1433.25</v>
      </c>
      <c r="G1176" s="8">
        <f>Tabla1[[#This Row],[Ingresos]]-Tabla1[[#This Row],[Gastos]]</f>
        <v>392.71049999999968</v>
      </c>
      <c r="H1176" s="13">
        <f>Tabla1[[#This Row],[Beneficio]]/Tabla1[[#This Row],[Ingresos]]</f>
        <v>0.21507064364207207</v>
      </c>
    </row>
    <row r="1177" spans="1:8" x14ac:dyDescent="0.35">
      <c r="A1177" s="2">
        <v>43887</v>
      </c>
      <c r="B1177" t="s">
        <v>6</v>
      </c>
      <c r="C1177" t="s">
        <v>13</v>
      </c>
      <c r="D1177" t="s">
        <v>17</v>
      </c>
      <c r="E1177" s="7">
        <v>1518.3</v>
      </c>
      <c r="F1177" s="7">
        <v>843.5</v>
      </c>
      <c r="G1177" s="8">
        <f>Tabla1[[#This Row],[Ingresos]]-Tabla1[[#This Row],[Gastos]]</f>
        <v>674.8</v>
      </c>
      <c r="H1177" s="13">
        <f>Tabla1[[#This Row],[Beneficio]]/Tabla1[[#This Row],[Ingresos]]</f>
        <v>0.44444444444444442</v>
      </c>
    </row>
    <row r="1178" spans="1:8" x14ac:dyDescent="0.35">
      <c r="A1178" s="2">
        <v>43888</v>
      </c>
      <c r="B1178" t="s">
        <v>8</v>
      </c>
      <c r="C1178" t="s">
        <v>43</v>
      </c>
      <c r="D1178" t="s">
        <v>16</v>
      </c>
      <c r="E1178" s="7">
        <v>14675.769230769229</v>
      </c>
      <c r="F1178" s="7">
        <v>6359.5</v>
      </c>
      <c r="G1178" s="8">
        <f>Tabla1[[#This Row],[Ingresos]]-Tabla1[[#This Row],[Gastos]]</f>
        <v>8316.2692307692287</v>
      </c>
      <c r="H1178" s="13">
        <f>Tabla1[[#This Row],[Beneficio]]/Tabla1[[#This Row],[Ingresos]]</f>
        <v>0.56666666666666665</v>
      </c>
    </row>
    <row r="1179" spans="1:8" x14ac:dyDescent="0.35">
      <c r="A1179" s="2">
        <v>43888</v>
      </c>
      <c r="B1179" t="s">
        <v>8</v>
      </c>
      <c r="C1179" t="s">
        <v>10</v>
      </c>
      <c r="D1179" t="s">
        <v>18</v>
      </c>
      <c r="E1179" s="7">
        <v>10575.599999999999</v>
      </c>
      <c r="F1179" s="7">
        <v>7931.7</v>
      </c>
      <c r="G1179" s="8">
        <f>Tabla1[[#This Row],[Ingresos]]-Tabla1[[#This Row],[Gastos]]</f>
        <v>2643.8999999999987</v>
      </c>
      <c r="H1179" s="13">
        <f>Tabla1[[#This Row],[Beneficio]]/Tabla1[[#This Row],[Ingresos]]</f>
        <v>0.24999999999999992</v>
      </c>
    </row>
    <row r="1180" spans="1:8" x14ac:dyDescent="0.35">
      <c r="A1180" s="2">
        <v>43890</v>
      </c>
      <c r="B1180" t="s">
        <v>5</v>
      </c>
      <c r="C1180" t="s">
        <v>10</v>
      </c>
      <c r="D1180" t="s">
        <v>19</v>
      </c>
      <c r="E1180" s="7">
        <v>239188.94999999998</v>
      </c>
      <c r="F1180" s="7">
        <v>201337.5</v>
      </c>
      <c r="G1180" s="8">
        <f>Tabla1[[#This Row],[Ingresos]]-Tabla1[[#This Row],[Gastos]]</f>
        <v>37851.449999999983</v>
      </c>
      <c r="H1180" s="13">
        <f>Tabla1[[#This Row],[Beneficio]]/Tabla1[[#This Row],[Ingresos]]</f>
        <v>0.15824915824915819</v>
      </c>
    </row>
    <row r="1181" spans="1:8" x14ac:dyDescent="0.35">
      <c r="A1181" s="2">
        <v>43892</v>
      </c>
      <c r="B1181" t="s">
        <v>8</v>
      </c>
      <c r="C1181" t="s">
        <v>43</v>
      </c>
      <c r="D1181" t="s">
        <v>17</v>
      </c>
      <c r="E1181" s="7">
        <v>61814.34</v>
      </c>
      <c r="F1181" s="7">
        <v>30907.17</v>
      </c>
      <c r="G1181" s="8">
        <f>Tabla1[[#This Row],[Ingresos]]-Tabla1[[#This Row],[Gastos]]</f>
        <v>30907.17</v>
      </c>
      <c r="H1181" s="13">
        <f>Tabla1[[#This Row],[Beneficio]]/Tabla1[[#This Row],[Ingresos]]</f>
        <v>0.5</v>
      </c>
    </row>
    <row r="1182" spans="1:8" x14ac:dyDescent="0.35">
      <c r="A1182" s="2">
        <v>43893</v>
      </c>
      <c r="B1182" t="s">
        <v>7</v>
      </c>
      <c r="C1182" t="s">
        <v>10</v>
      </c>
      <c r="D1182" t="s">
        <v>15</v>
      </c>
      <c r="E1182" s="7">
        <v>9270.24</v>
      </c>
      <c r="F1182" s="7">
        <v>6944</v>
      </c>
      <c r="G1182" s="8">
        <f>Tabla1[[#This Row],[Ingresos]]-Tabla1[[#This Row],[Gastos]]</f>
        <v>2326.2399999999998</v>
      </c>
      <c r="H1182" s="13">
        <f>Tabla1[[#This Row],[Beneficio]]/Tabla1[[#This Row],[Ingresos]]</f>
        <v>0.25093632958801498</v>
      </c>
    </row>
    <row r="1183" spans="1:8" x14ac:dyDescent="0.35">
      <c r="A1183" s="2">
        <v>43893</v>
      </c>
      <c r="B1183" t="s">
        <v>7</v>
      </c>
      <c r="C1183" t="s">
        <v>11</v>
      </c>
      <c r="D1183" t="s">
        <v>17</v>
      </c>
      <c r="E1183" s="7">
        <v>813021.53625</v>
      </c>
      <c r="F1183" s="7">
        <v>710539.83</v>
      </c>
      <c r="G1183" s="8">
        <f>Tabla1[[#This Row],[Ingresos]]-Tabla1[[#This Row],[Gastos]]</f>
        <v>102481.70625000005</v>
      </c>
      <c r="H1183" s="13">
        <f>Tabla1[[#This Row],[Beneficio]]/Tabla1[[#This Row],[Ingresos]]</f>
        <v>0.12605042016806728</v>
      </c>
    </row>
    <row r="1184" spans="1:8" x14ac:dyDescent="0.35">
      <c r="A1184" s="2">
        <v>43894</v>
      </c>
      <c r="B1184" t="s">
        <v>6</v>
      </c>
      <c r="C1184" t="s">
        <v>12</v>
      </c>
      <c r="D1184" t="s">
        <v>17</v>
      </c>
      <c r="E1184" s="7">
        <v>42617.389499999997</v>
      </c>
      <c r="F1184" s="7">
        <v>22430.204999999998</v>
      </c>
      <c r="G1184" s="8">
        <f>Tabla1[[#This Row],[Ingresos]]-Tabla1[[#This Row],[Gastos]]</f>
        <v>20187.184499999999</v>
      </c>
      <c r="H1184" s="13">
        <f>Tabla1[[#This Row],[Beneficio]]/Tabla1[[#This Row],[Ingresos]]</f>
        <v>0.47368421052631582</v>
      </c>
    </row>
    <row r="1185" spans="1:8" x14ac:dyDescent="0.35">
      <c r="A1185" s="2">
        <v>43895</v>
      </c>
      <c r="B1185" t="s">
        <v>5</v>
      </c>
      <c r="C1185" t="s">
        <v>12</v>
      </c>
      <c r="D1185" t="s">
        <v>17</v>
      </c>
      <c r="E1185" s="7">
        <v>4271.8935000000001</v>
      </c>
      <c r="F1185" s="7">
        <v>3211.95</v>
      </c>
      <c r="G1185" s="8">
        <f>Tabla1[[#This Row],[Ingresos]]-Tabla1[[#This Row],[Gastos]]</f>
        <v>1059.9435000000003</v>
      </c>
      <c r="H1185" s="13">
        <f>Tabla1[[#This Row],[Beneficio]]/Tabla1[[#This Row],[Ingresos]]</f>
        <v>0.24812030075187977</v>
      </c>
    </row>
    <row r="1186" spans="1:8" x14ac:dyDescent="0.35">
      <c r="A1186" s="2">
        <v>43897</v>
      </c>
      <c r="B1186" t="s">
        <v>8</v>
      </c>
      <c r="C1186" t="s">
        <v>13</v>
      </c>
      <c r="D1186" t="s">
        <v>17</v>
      </c>
      <c r="E1186" s="7">
        <v>53209.495499999997</v>
      </c>
      <c r="F1186" s="7">
        <v>29892.974999999999</v>
      </c>
      <c r="G1186" s="8">
        <f>Tabla1[[#This Row],[Ingresos]]-Tabla1[[#This Row],[Gastos]]</f>
        <v>23316.520499999999</v>
      </c>
      <c r="H1186" s="13">
        <f>Tabla1[[#This Row],[Beneficio]]/Tabla1[[#This Row],[Ingresos]]</f>
        <v>0.43820224719101125</v>
      </c>
    </row>
    <row r="1187" spans="1:8" x14ac:dyDescent="0.35">
      <c r="A1187" s="2">
        <v>43897</v>
      </c>
      <c r="B1187" t="s">
        <v>6</v>
      </c>
      <c r="C1187" t="s">
        <v>13</v>
      </c>
      <c r="D1187" t="s">
        <v>17</v>
      </c>
      <c r="E1187" s="7">
        <v>30933.548799999993</v>
      </c>
      <c r="F1187" s="7">
        <v>17575.88</v>
      </c>
      <c r="G1187" s="8">
        <f>Tabla1[[#This Row],[Ingresos]]-Tabla1[[#This Row],[Gastos]]</f>
        <v>13357.668799999992</v>
      </c>
      <c r="H1187" s="13">
        <f>Tabla1[[#This Row],[Beneficio]]/Tabla1[[#This Row],[Ingresos]]</f>
        <v>0.43181818181818166</v>
      </c>
    </row>
    <row r="1188" spans="1:8" x14ac:dyDescent="0.35">
      <c r="A1188" s="2">
        <v>43898</v>
      </c>
      <c r="B1188" t="s">
        <v>8</v>
      </c>
      <c r="C1188" t="s">
        <v>11</v>
      </c>
      <c r="D1188" t="s">
        <v>17</v>
      </c>
      <c r="E1188" s="7">
        <v>5642.49</v>
      </c>
      <c r="F1188" s="7">
        <v>2908.5</v>
      </c>
      <c r="G1188" s="8">
        <f>Tabla1[[#This Row],[Ingresos]]-Tabla1[[#This Row],[Gastos]]</f>
        <v>2733.99</v>
      </c>
      <c r="H1188" s="13">
        <f>Tabla1[[#This Row],[Beneficio]]/Tabla1[[#This Row],[Ingresos]]</f>
        <v>0.4845360824742268</v>
      </c>
    </row>
    <row r="1189" spans="1:8" x14ac:dyDescent="0.35">
      <c r="A1189" s="2">
        <v>43898</v>
      </c>
      <c r="B1189" t="s">
        <v>7</v>
      </c>
      <c r="C1189" t="s">
        <v>10</v>
      </c>
      <c r="D1189" t="s">
        <v>17</v>
      </c>
      <c r="E1189" s="7">
        <v>17682.071399999997</v>
      </c>
      <c r="F1189" s="7">
        <v>9506.49</v>
      </c>
      <c r="G1189" s="8">
        <f>Tabla1[[#This Row],[Ingresos]]-Tabla1[[#This Row],[Gastos]]</f>
        <v>8175.5813999999973</v>
      </c>
      <c r="H1189" s="13">
        <f>Tabla1[[#This Row],[Beneficio]]/Tabla1[[#This Row],[Ingresos]]</f>
        <v>0.46236559139784938</v>
      </c>
    </row>
    <row r="1190" spans="1:8" x14ac:dyDescent="0.35">
      <c r="A1190" s="2">
        <v>43898</v>
      </c>
      <c r="B1190" t="s">
        <v>6</v>
      </c>
      <c r="C1190" t="s">
        <v>43</v>
      </c>
      <c r="D1190" t="s">
        <v>18</v>
      </c>
      <c r="E1190" s="7">
        <v>1764.336</v>
      </c>
      <c r="F1190" s="7">
        <v>1486.8</v>
      </c>
      <c r="G1190" s="8">
        <f>Tabla1[[#This Row],[Ingresos]]-Tabla1[[#This Row],[Gastos]]</f>
        <v>277.53600000000006</v>
      </c>
      <c r="H1190" s="13">
        <f>Tabla1[[#This Row],[Beneficio]]/Tabla1[[#This Row],[Ingresos]]</f>
        <v>0.15730337078651688</v>
      </c>
    </row>
    <row r="1191" spans="1:8" x14ac:dyDescent="0.35">
      <c r="A1191" s="2">
        <v>43899</v>
      </c>
      <c r="B1191" t="s">
        <v>7</v>
      </c>
      <c r="C1191" t="s">
        <v>12</v>
      </c>
      <c r="D1191" t="s">
        <v>17</v>
      </c>
      <c r="E1191" s="7">
        <v>962817.51300000004</v>
      </c>
      <c r="F1191" s="7">
        <v>760889.22</v>
      </c>
      <c r="G1191" s="8">
        <f>Tabla1[[#This Row],[Ingresos]]-Tabla1[[#This Row],[Gastos]]</f>
        <v>201928.29300000006</v>
      </c>
      <c r="H1191" s="13">
        <f>Tabla1[[#This Row],[Beneficio]]/Tabla1[[#This Row],[Ingresos]]</f>
        <v>0.20972644376899702</v>
      </c>
    </row>
    <row r="1192" spans="1:8" x14ac:dyDescent="0.35">
      <c r="A1192" s="2">
        <v>43900</v>
      </c>
      <c r="B1192" t="s">
        <v>6</v>
      </c>
      <c r="C1192" t="s">
        <v>10</v>
      </c>
      <c r="D1192" t="s">
        <v>17</v>
      </c>
      <c r="E1192" s="7">
        <v>157106.25</v>
      </c>
      <c r="F1192" s="7">
        <v>122849.99999999999</v>
      </c>
      <c r="G1192" s="8">
        <f>Tabla1[[#This Row],[Ingresos]]-Tabla1[[#This Row],[Gastos]]</f>
        <v>34256.250000000015</v>
      </c>
      <c r="H1192" s="13">
        <f>Tabla1[[#This Row],[Beneficio]]/Tabla1[[#This Row],[Ingresos]]</f>
        <v>0.21804511278195499</v>
      </c>
    </row>
    <row r="1193" spans="1:8" x14ac:dyDescent="0.35">
      <c r="A1193" s="2">
        <v>43902</v>
      </c>
      <c r="B1193" t="s">
        <v>5</v>
      </c>
      <c r="C1193" t="s">
        <v>10</v>
      </c>
      <c r="D1193" t="s">
        <v>16</v>
      </c>
      <c r="E1193" s="7">
        <v>143486.53846153844</v>
      </c>
      <c r="F1193" s="7">
        <v>125663.99999999999</v>
      </c>
      <c r="G1193" s="8">
        <f>Tabla1[[#This Row],[Ingresos]]-Tabla1[[#This Row],[Gastos]]</f>
        <v>17822.538461538454</v>
      </c>
      <c r="H1193" s="13">
        <f>Tabla1[[#This Row],[Beneficio]]/Tabla1[[#This Row],[Ingresos]]</f>
        <v>0.12421052631578944</v>
      </c>
    </row>
    <row r="1194" spans="1:8" x14ac:dyDescent="0.35">
      <c r="A1194" s="2">
        <v>43903</v>
      </c>
      <c r="B1194" t="s">
        <v>5</v>
      </c>
      <c r="C1194" t="s">
        <v>13</v>
      </c>
      <c r="D1194" t="s">
        <v>17</v>
      </c>
      <c r="E1194" s="7">
        <v>150658.46249999999</v>
      </c>
      <c r="F1194" s="7">
        <v>122986.49999999999</v>
      </c>
      <c r="G1194" s="8">
        <f>Tabla1[[#This Row],[Ingresos]]-Tabla1[[#This Row],[Gastos]]</f>
        <v>27671.962500000009</v>
      </c>
      <c r="H1194" s="13">
        <f>Tabla1[[#This Row],[Beneficio]]/Tabla1[[#This Row],[Ingresos]]</f>
        <v>0.18367346938775517</v>
      </c>
    </row>
    <row r="1195" spans="1:8" x14ac:dyDescent="0.35">
      <c r="A1195" s="2">
        <v>43903</v>
      </c>
      <c r="B1195" t="s">
        <v>6</v>
      </c>
      <c r="C1195" t="s">
        <v>12</v>
      </c>
      <c r="D1195" t="s">
        <v>17</v>
      </c>
      <c r="E1195" s="7">
        <v>18305.056</v>
      </c>
      <c r="F1195" s="7">
        <v>9948.4</v>
      </c>
      <c r="G1195" s="8">
        <f>Tabla1[[#This Row],[Ingresos]]-Tabla1[[#This Row],[Gastos]]</f>
        <v>8356.6560000000009</v>
      </c>
      <c r="H1195" s="13">
        <f>Tabla1[[#This Row],[Beneficio]]/Tabla1[[#This Row],[Ingresos]]</f>
        <v>0.45652173913043481</v>
      </c>
    </row>
    <row r="1196" spans="1:8" x14ac:dyDescent="0.35">
      <c r="A1196" s="2">
        <v>43904</v>
      </c>
      <c r="B1196" t="s">
        <v>6</v>
      </c>
      <c r="C1196" t="s">
        <v>10</v>
      </c>
      <c r="D1196" t="s">
        <v>16</v>
      </c>
      <c r="E1196" s="7">
        <v>40022.163461538454</v>
      </c>
      <c r="F1196" s="7">
        <v>33978</v>
      </c>
      <c r="G1196" s="8">
        <f>Tabla1[[#This Row],[Ingresos]]-Tabla1[[#This Row],[Gastos]]</f>
        <v>6044.1634615384537</v>
      </c>
      <c r="H1196" s="13">
        <f>Tabla1[[#This Row],[Beneficio]]/Tabla1[[#This Row],[Ingresos]]</f>
        <v>0.15102040816326515</v>
      </c>
    </row>
    <row r="1197" spans="1:8" x14ac:dyDescent="0.35">
      <c r="A1197" s="2">
        <v>43904</v>
      </c>
      <c r="B1197" t="s">
        <v>8</v>
      </c>
      <c r="C1197" t="s">
        <v>43</v>
      </c>
      <c r="D1197" t="s">
        <v>17</v>
      </c>
      <c r="E1197" s="7">
        <v>280505.39999999997</v>
      </c>
      <c r="F1197" s="7">
        <v>239511.99999999997</v>
      </c>
      <c r="G1197" s="8">
        <f>Tabla1[[#This Row],[Ingresos]]-Tabla1[[#This Row],[Gastos]]</f>
        <v>40993.399999999994</v>
      </c>
      <c r="H1197" s="13">
        <f>Tabla1[[#This Row],[Beneficio]]/Tabla1[[#This Row],[Ingresos]]</f>
        <v>0.14614121510673234</v>
      </c>
    </row>
    <row r="1198" spans="1:8" x14ac:dyDescent="0.35">
      <c r="A1198" s="2">
        <v>43904</v>
      </c>
      <c r="B1198" t="s">
        <v>6</v>
      </c>
      <c r="C1198" t="s">
        <v>10</v>
      </c>
      <c r="D1198" t="s">
        <v>19</v>
      </c>
      <c r="E1198" s="7">
        <v>31913.699999999997</v>
      </c>
      <c r="F1198" s="7">
        <v>29224.999999999996</v>
      </c>
      <c r="G1198" s="8">
        <f>Tabla1[[#This Row],[Ingresos]]-Tabla1[[#This Row],[Gastos]]</f>
        <v>2688.7000000000007</v>
      </c>
      <c r="H1198" s="13">
        <f>Tabla1[[#This Row],[Beneficio]]/Tabla1[[#This Row],[Ingresos]]</f>
        <v>8.4249084249084283E-2</v>
      </c>
    </row>
    <row r="1199" spans="1:8" x14ac:dyDescent="0.35">
      <c r="A1199" s="2">
        <v>43905</v>
      </c>
      <c r="B1199" t="s">
        <v>6</v>
      </c>
      <c r="C1199" t="s">
        <v>43</v>
      </c>
      <c r="D1199" t="s">
        <v>17</v>
      </c>
      <c r="E1199" s="7">
        <v>5604.4337999999989</v>
      </c>
      <c r="F1199" s="7">
        <v>4213.8599999999997</v>
      </c>
      <c r="G1199" s="8">
        <f>Tabla1[[#This Row],[Ingresos]]-Tabla1[[#This Row],[Gastos]]</f>
        <v>1390.5737999999992</v>
      </c>
      <c r="H1199" s="13">
        <f>Tabla1[[#This Row],[Beneficio]]/Tabla1[[#This Row],[Ingresos]]</f>
        <v>0.2481203007518796</v>
      </c>
    </row>
    <row r="1200" spans="1:8" x14ac:dyDescent="0.35">
      <c r="A1200" s="2">
        <v>43905</v>
      </c>
      <c r="B1200" t="s">
        <v>8</v>
      </c>
      <c r="C1200" t="s">
        <v>43</v>
      </c>
      <c r="D1200" t="s">
        <v>17</v>
      </c>
      <c r="E1200" s="7">
        <v>82868.31</v>
      </c>
      <c r="F1200" s="7">
        <v>64799.28</v>
      </c>
      <c r="G1200" s="8">
        <f>Tabla1[[#This Row],[Ingresos]]-Tabla1[[#This Row],[Gastos]]</f>
        <v>18069.03</v>
      </c>
      <c r="H1200" s="13">
        <f>Tabla1[[#This Row],[Beneficio]]/Tabla1[[#This Row],[Ingresos]]</f>
        <v>0.21804511278195488</v>
      </c>
    </row>
    <row r="1201" spans="1:8" x14ac:dyDescent="0.35">
      <c r="A1201" s="2">
        <v>43906</v>
      </c>
      <c r="B1201" t="s">
        <v>7</v>
      </c>
      <c r="C1201" t="s">
        <v>12</v>
      </c>
      <c r="D1201" t="s">
        <v>16</v>
      </c>
      <c r="E1201" s="7">
        <v>17920.834615384614</v>
      </c>
      <c r="F1201" s="7">
        <v>16752.96</v>
      </c>
      <c r="G1201" s="8">
        <f>Tabla1[[#This Row],[Ingresos]]-Tabla1[[#This Row],[Gastos]]</f>
        <v>1167.874615384615</v>
      </c>
      <c r="H1201" s="13">
        <f>Tabla1[[#This Row],[Beneficio]]/Tabla1[[#This Row],[Ingresos]]</f>
        <v>6.5168539325842684E-2</v>
      </c>
    </row>
    <row r="1202" spans="1:8" x14ac:dyDescent="0.35">
      <c r="A1202" s="2">
        <v>43907</v>
      </c>
      <c r="B1202" t="s">
        <v>5</v>
      </c>
      <c r="C1202" t="s">
        <v>43</v>
      </c>
      <c r="D1202" t="s">
        <v>15</v>
      </c>
      <c r="E1202" s="7">
        <v>17354.667749999997</v>
      </c>
      <c r="F1202" s="7">
        <v>12308.275</v>
      </c>
      <c r="G1202" s="8">
        <f>Tabla1[[#This Row],[Ingresos]]-Tabla1[[#This Row],[Gastos]]</f>
        <v>5046.3927499999972</v>
      </c>
      <c r="H1202" s="13">
        <f>Tabla1[[#This Row],[Beneficio]]/Tabla1[[#This Row],[Ingresos]]</f>
        <v>0.29078014184397155</v>
      </c>
    </row>
    <row r="1203" spans="1:8" x14ac:dyDescent="0.35">
      <c r="A1203" s="2">
        <v>43907</v>
      </c>
      <c r="B1203" t="s">
        <v>8</v>
      </c>
      <c r="C1203" t="s">
        <v>11</v>
      </c>
      <c r="D1203" t="s">
        <v>16</v>
      </c>
      <c r="E1203" s="7">
        <v>126752.16346153844</v>
      </c>
      <c r="F1203" s="7">
        <v>124067.99999999999</v>
      </c>
      <c r="G1203" s="8">
        <f>Tabla1[[#This Row],[Ingresos]]-Tabla1[[#This Row],[Gastos]]</f>
        <v>2684.1634615384537</v>
      </c>
      <c r="H1203" s="13">
        <f>Tabla1[[#This Row],[Beneficio]]/Tabla1[[#This Row],[Ingresos]]</f>
        <v>2.1176470588235238E-2</v>
      </c>
    </row>
    <row r="1204" spans="1:8" x14ac:dyDescent="0.35">
      <c r="A1204" s="2">
        <v>43908</v>
      </c>
      <c r="B1204" t="s">
        <v>5</v>
      </c>
      <c r="C1204" t="s">
        <v>43</v>
      </c>
      <c r="D1204" t="s">
        <v>17</v>
      </c>
      <c r="E1204" s="7">
        <v>8256.08</v>
      </c>
      <c r="F1204" s="7">
        <v>4487</v>
      </c>
      <c r="G1204" s="8">
        <f>Tabla1[[#This Row],[Ingresos]]-Tabla1[[#This Row],[Gastos]]</f>
        <v>3769.08</v>
      </c>
      <c r="H1204" s="13">
        <f>Tabla1[[#This Row],[Beneficio]]/Tabla1[[#This Row],[Ingresos]]</f>
        <v>0.45652173913043476</v>
      </c>
    </row>
    <row r="1205" spans="1:8" x14ac:dyDescent="0.35">
      <c r="A1205" s="2">
        <v>43909</v>
      </c>
      <c r="B1205" t="s">
        <v>6</v>
      </c>
      <c r="C1205" t="s">
        <v>12</v>
      </c>
      <c r="D1205" t="s">
        <v>17</v>
      </c>
      <c r="E1205" s="7">
        <v>83513.149999999994</v>
      </c>
      <c r="F1205" s="7">
        <v>69706</v>
      </c>
      <c r="G1205" s="8">
        <f>Tabla1[[#This Row],[Ingresos]]-Tabla1[[#This Row],[Gastos]]</f>
        <v>13807.149999999994</v>
      </c>
      <c r="H1205" s="13">
        <f>Tabla1[[#This Row],[Beneficio]]/Tabla1[[#This Row],[Ingresos]]</f>
        <v>0.16532905296950234</v>
      </c>
    </row>
    <row r="1206" spans="1:8" x14ac:dyDescent="0.35">
      <c r="A1206" s="2">
        <v>43910</v>
      </c>
      <c r="B1206" t="s">
        <v>5</v>
      </c>
      <c r="C1206" t="s">
        <v>13</v>
      </c>
      <c r="D1206" t="s">
        <v>15</v>
      </c>
      <c r="E1206" s="7">
        <v>10186.469999999999</v>
      </c>
      <c r="F1206" s="7">
        <v>7148.4</v>
      </c>
      <c r="G1206" s="8">
        <f>Tabla1[[#This Row],[Ingresos]]-Tabla1[[#This Row],[Gastos]]</f>
        <v>3038.0699999999997</v>
      </c>
      <c r="H1206" s="13">
        <f>Tabla1[[#This Row],[Beneficio]]/Tabla1[[#This Row],[Ingresos]]</f>
        <v>0.2982456140350877</v>
      </c>
    </row>
    <row r="1207" spans="1:8" x14ac:dyDescent="0.35">
      <c r="A1207" s="2">
        <v>43911</v>
      </c>
      <c r="B1207" t="s">
        <v>7</v>
      </c>
      <c r="C1207" t="s">
        <v>13</v>
      </c>
      <c r="D1207" t="s">
        <v>17</v>
      </c>
      <c r="E1207" s="7">
        <v>153497.4</v>
      </c>
      <c r="F1207" s="7">
        <v>123941.99999999999</v>
      </c>
      <c r="G1207" s="8">
        <f>Tabla1[[#This Row],[Ingresos]]-Tabla1[[#This Row],[Gastos]]</f>
        <v>29555.400000000009</v>
      </c>
      <c r="H1207" s="13">
        <f>Tabla1[[#This Row],[Beneficio]]/Tabla1[[#This Row],[Ingresos]]</f>
        <v>0.19254658385093174</v>
      </c>
    </row>
    <row r="1208" spans="1:8" x14ac:dyDescent="0.35">
      <c r="A1208" s="2">
        <v>43911</v>
      </c>
      <c r="B1208" t="s">
        <v>5</v>
      </c>
      <c r="C1208" t="s">
        <v>10</v>
      </c>
      <c r="D1208" t="s">
        <v>19</v>
      </c>
      <c r="E1208" s="7">
        <v>98852.25</v>
      </c>
      <c r="F1208" s="7">
        <v>86712.5</v>
      </c>
      <c r="G1208" s="8">
        <f>Tabla1[[#This Row],[Ingresos]]-Tabla1[[#This Row],[Gastos]]</f>
        <v>12139.75</v>
      </c>
      <c r="H1208" s="13">
        <f>Tabla1[[#This Row],[Beneficio]]/Tabla1[[#This Row],[Ingresos]]</f>
        <v>0.12280701754385964</v>
      </c>
    </row>
    <row r="1209" spans="1:8" x14ac:dyDescent="0.35">
      <c r="A1209" s="2">
        <v>43912</v>
      </c>
      <c r="B1209" t="s">
        <v>7</v>
      </c>
      <c r="C1209" t="s">
        <v>43</v>
      </c>
      <c r="D1209" t="s">
        <v>19</v>
      </c>
      <c r="E1209" s="7">
        <v>109725</v>
      </c>
      <c r="F1209" s="7">
        <v>96250</v>
      </c>
      <c r="G1209" s="8">
        <f>Tabla1[[#This Row],[Ingresos]]-Tabla1[[#This Row],[Gastos]]</f>
        <v>13475</v>
      </c>
      <c r="H1209" s="13">
        <f>Tabla1[[#This Row],[Beneficio]]/Tabla1[[#This Row],[Ingresos]]</f>
        <v>0.12280701754385964</v>
      </c>
    </row>
    <row r="1210" spans="1:8" x14ac:dyDescent="0.35">
      <c r="A1210" s="2">
        <v>43912</v>
      </c>
      <c r="B1210" t="s">
        <v>6</v>
      </c>
      <c r="C1210" t="s">
        <v>12</v>
      </c>
      <c r="D1210" t="s">
        <v>19</v>
      </c>
      <c r="E1210" s="7">
        <v>124687.49999999999</v>
      </c>
      <c r="F1210" s="7">
        <v>109375</v>
      </c>
      <c r="G1210" s="8">
        <f>Tabla1[[#This Row],[Ingresos]]-Tabla1[[#This Row],[Gastos]]</f>
        <v>15312.499999999985</v>
      </c>
      <c r="H1210" s="13">
        <f>Tabla1[[#This Row],[Beneficio]]/Tabla1[[#This Row],[Ingresos]]</f>
        <v>0.12280701754385955</v>
      </c>
    </row>
    <row r="1211" spans="1:8" x14ac:dyDescent="0.35">
      <c r="A1211" s="2">
        <v>43913</v>
      </c>
      <c r="B1211" t="s">
        <v>5</v>
      </c>
      <c r="C1211" t="s">
        <v>12</v>
      </c>
      <c r="D1211" t="s">
        <v>15</v>
      </c>
      <c r="E1211" s="7">
        <v>3228.75</v>
      </c>
      <c r="F1211" s="7">
        <v>2152.5</v>
      </c>
      <c r="G1211" s="8">
        <f>Tabla1[[#This Row],[Ingresos]]-Tabla1[[#This Row],[Gastos]]</f>
        <v>1076.25</v>
      </c>
      <c r="H1211" s="13">
        <f>Tabla1[[#This Row],[Beneficio]]/Tabla1[[#This Row],[Ingresos]]</f>
        <v>0.33333333333333331</v>
      </c>
    </row>
    <row r="1212" spans="1:8" x14ac:dyDescent="0.35">
      <c r="A1212" s="2">
        <v>43914</v>
      </c>
      <c r="B1212" t="s">
        <v>8</v>
      </c>
      <c r="C1212" t="s">
        <v>10</v>
      </c>
      <c r="D1212" t="s">
        <v>16</v>
      </c>
      <c r="E1212" s="7">
        <v>189009.49038461538</v>
      </c>
      <c r="F1212" s="7">
        <v>160465.19999999998</v>
      </c>
      <c r="G1212" s="8">
        <f>Tabla1[[#This Row],[Ingresos]]-Tabla1[[#This Row],[Gastos]]</f>
        <v>28544.290384615393</v>
      </c>
      <c r="H1212" s="13">
        <f>Tabla1[[#This Row],[Beneficio]]/Tabla1[[#This Row],[Ingresos]]</f>
        <v>0.15102040816326537</v>
      </c>
    </row>
    <row r="1213" spans="1:8" x14ac:dyDescent="0.35">
      <c r="A1213" s="2">
        <v>43914</v>
      </c>
      <c r="B1213" t="s">
        <v>5</v>
      </c>
      <c r="C1213" t="s">
        <v>43</v>
      </c>
      <c r="D1213" t="s">
        <v>16</v>
      </c>
      <c r="E1213" s="7">
        <v>322502.84062499995</v>
      </c>
      <c r="F1213" s="7">
        <v>294859.74</v>
      </c>
      <c r="G1213" s="8">
        <f>Tabla1[[#This Row],[Ingresos]]-Tabla1[[#This Row],[Gastos]]</f>
        <v>27643.100624999963</v>
      </c>
      <c r="H1213" s="13">
        <f>Tabla1[[#This Row],[Beneficio]]/Tabla1[[#This Row],[Ingresos]]</f>
        <v>8.5714285714285618E-2</v>
      </c>
    </row>
    <row r="1214" spans="1:8" x14ac:dyDescent="0.35">
      <c r="A1214" s="2">
        <v>43915</v>
      </c>
      <c r="B1214" t="s">
        <v>8</v>
      </c>
      <c r="C1214" t="s">
        <v>10</v>
      </c>
      <c r="D1214" t="s">
        <v>18</v>
      </c>
      <c r="E1214" s="7">
        <v>13974.176579999999</v>
      </c>
      <c r="F1214" s="7">
        <v>11775.9915</v>
      </c>
      <c r="G1214" s="8">
        <f>Tabla1[[#This Row],[Ingresos]]-Tabla1[[#This Row],[Gastos]]</f>
        <v>2198.1850799999993</v>
      </c>
      <c r="H1214" s="13">
        <f>Tabla1[[#This Row],[Beneficio]]/Tabla1[[#This Row],[Ingresos]]</f>
        <v>0.15730337078651682</v>
      </c>
    </row>
    <row r="1215" spans="1:8" x14ac:dyDescent="0.35">
      <c r="A1215" s="2">
        <v>43916</v>
      </c>
      <c r="B1215" t="s">
        <v>9</v>
      </c>
      <c r="C1215" t="s">
        <v>10</v>
      </c>
      <c r="D1215" t="s">
        <v>16</v>
      </c>
      <c r="E1215" s="7">
        <v>64381.658653846149</v>
      </c>
      <c r="F1215" s="7">
        <v>60185.999999999993</v>
      </c>
      <c r="G1215" s="8">
        <f>Tabla1[[#This Row],[Ingresos]]-Tabla1[[#This Row],[Gastos]]</f>
        <v>4195.6586538461561</v>
      </c>
      <c r="H1215" s="13">
        <f>Tabla1[[#This Row],[Beneficio]]/Tabla1[[#This Row],[Ingresos]]</f>
        <v>6.5168539325842739E-2</v>
      </c>
    </row>
    <row r="1216" spans="1:8" x14ac:dyDescent="0.35">
      <c r="A1216" s="2">
        <v>43917</v>
      </c>
      <c r="B1216" t="s">
        <v>9</v>
      </c>
      <c r="C1216" t="s">
        <v>10</v>
      </c>
      <c r="D1216" t="s">
        <v>15</v>
      </c>
      <c r="E1216" s="7">
        <v>27442.799999999999</v>
      </c>
      <c r="F1216" s="7">
        <v>18295.199999999997</v>
      </c>
      <c r="G1216" s="8">
        <f>Tabla1[[#This Row],[Ingresos]]-Tabla1[[#This Row],[Gastos]]</f>
        <v>9147.6000000000022</v>
      </c>
      <c r="H1216" s="13">
        <f>Tabla1[[#This Row],[Beneficio]]/Tabla1[[#This Row],[Ingresos]]</f>
        <v>0.33333333333333343</v>
      </c>
    </row>
    <row r="1217" spans="1:8" x14ac:dyDescent="0.35">
      <c r="A1217" s="2">
        <v>43917</v>
      </c>
      <c r="B1217" t="s">
        <v>6</v>
      </c>
      <c r="C1217" t="s">
        <v>10</v>
      </c>
      <c r="D1217" t="s">
        <v>17</v>
      </c>
      <c r="E1217" s="7">
        <v>2171.0527999999999</v>
      </c>
      <c r="F1217" s="7">
        <v>1803.1999999999998</v>
      </c>
      <c r="G1217" s="8">
        <f>Tabla1[[#This Row],[Ingresos]]-Tabla1[[#This Row],[Gastos]]</f>
        <v>367.85280000000012</v>
      </c>
      <c r="H1217" s="13">
        <f>Tabla1[[#This Row],[Beneficio]]/Tabla1[[#This Row],[Ingresos]]</f>
        <v>0.16943521594684391</v>
      </c>
    </row>
    <row r="1218" spans="1:8" x14ac:dyDescent="0.35">
      <c r="A1218" s="2">
        <v>43918</v>
      </c>
      <c r="B1218" t="s">
        <v>6</v>
      </c>
      <c r="C1218" t="s">
        <v>13</v>
      </c>
      <c r="D1218" t="s">
        <v>18</v>
      </c>
      <c r="E1218" s="7">
        <v>31367.762999999999</v>
      </c>
      <c r="F1218" s="7">
        <v>27041.174999999999</v>
      </c>
      <c r="G1218" s="8">
        <f>Tabla1[[#This Row],[Ingresos]]-Tabla1[[#This Row],[Gastos]]</f>
        <v>4326.5879999999997</v>
      </c>
      <c r="H1218" s="13">
        <f>Tabla1[[#This Row],[Beneficio]]/Tabla1[[#This Row],[Ingresos]]</f>
        <v>0.13793103448275862</v>
      </c>
    </row>
    <row r="1219" spans="1:8" x14ac:dyDescent="0.35">
      <c r="A1219" s="2">
        <v>43920</v>
      </c>
      <c r="B1219" t="s">
        <v>8</v>
      </c>
      <c r="C1219" t="s">
        <v>12</v>
      </c>
      <c r="D1219" t="s">
        <v>19</v>
      </c>
      <c r="E1219" s="7">
        <v>81581.849999999991</v>
      </c>
      <c r="F1219" s="7">
        <v>76387.5</v>
      </c>
      <c r="G1219" s="8">
        <f>Tabla1[[#This Row],[Ingresos]]-Tabla1[[#This Row],[Gastos]]</f>
        <v>5194.3499999999913</v>
      </c>
      <c r="H1219" s="13">
        <f>Tabla1[[#This Row],[Beneficio]]/Tabla1[[#This Row],[Ingresos]]</f>
        <v>6.3670411985018632E-2</v>
      </c>
    </row>
    <row r="1220" spans="1:8" x14ac:dyDescent="0.35">
      <c r="A1220" s="2">
        <v>43920</v>
      </c>
      <c r="B1220" t="s">
        <v>9</v>
      </c>
      <c r="C1220" t="s">
        <v>13</v>
      </c>
      <c r="D1220" t="s">
        <v>18</v>
      </c>
      <c r="E1220" s="7">
        <v>18759.081599999998</v>
      </c>
      <c r="F1220" s="7">
        <v>14356.439999999999</v>
      </c>
      <c r="G1220" s="8">
        <f>Tabla1[[#This Row],[Ingresos]]-Tabla1[[#This Row],[Gastos]]</f>
        <v>4402.641599999999</v>
      </c>
      <c r="H1220" s="13">
        <f>Tabla1[[#This Row],[Beneficio]]/Tabla1[[#This Row],[Ingresos]]</f>
        <v>0.23469387755102039</v>
      </c>
    </row>
    <row r="1221" spans="1:8" x14ac:dyDescent="0.35">
      <c r="A1221" s="2">
        <v>43921</v>
      </c>
      <c r="B1221" t="s">
        <v>7</v>
      </c>
      <c r="C1221" t="s">
        <v>10</v>
      </c>
      <c r="D1221" t="s">
        <v>17</v>
      </c>
      <c r="E1221" s="7">
        <v>68767.775999999998</v>
      </c>
      <c r="F1221" s="7">
        <v>58050.720000000001</v>
      </c>
      <c r="G1221" s="8">
        <f>Tabla1[[#This Row],[Ingresos]]-Tabla1[[#This Row],[Gastos]]</f>
        <v>10717.055999999997</v>
      </c>
      <c r="H1221" s="13">
        <f>Tabla1[[#This Row],[Beneficio]]/Tabla1[[#This Row],[Ingresos]]</f>
        <v>0.15584415584415581</v>
      </c>
    </row>
    <row r="1222" spans="1:8" x14ac:dyDescent="0.35">
      <c r="A1222" s="2">
        <v>43922</v>
      </c>
      <c r="B1222" t="s">
        <v>7</v>
      </c>
      <c r="C1222" t="s">
        <v>13</v>
      </c>
      <c r="D1222" t="s">
        <v>15</v>
      </c>
      <c r="E1222" s="7">
        <v>8079.329999999999</v>
      </c>
      <c r="F1222" s="7">
        <v>5386.22</v>
      </c>
      <c r="G1222" s="8">
        <f>Tabla1[[#This Row],[Ingresos]]-Tabla1[[#This Row],[Gastos]]</f>
        <v>2693.1099999999988</v>
      </c>
      <c r="H1222" s="13">
        <f>Tabla1[[#This Row],[Beneficio]]/Tabla1[[#This Row],[Ingresos]]</f>
        <v>0.3333333333333332</v>
      </c>
    </row>
    <row r="1223" spans="1:8" x14ac:dyDescent="0.35">
      <c r="A1223" s="2">
        <v>43922</v>
      </c>
      <c r="B1223" t="s">
        <v>6</v>
      </c>
      <c r="C1223" t="s">
        <v>13</v>
      </c>
      <c r="D1223" t="s">
        <v>18</v>
      </c>
      <c r="E1223" s="7">
        <v>14665.14</v>
      </c>
      <c r="F1223" s="7">
        <v>10998.855</v>
      </c>
      <c r="G1223" s="8">
        <f>Tabla1[[#This Row],[Ingresos]]-Tabla1[[#This Row],[Gastos]]</f>
        <v>3666.2849999999999</v>
      </c>
      <c r="H1223" s="13">
        <f>Tabla1[[#This Row],[Beneficio]]/Tabla1[[#This Row],[Ingresos]]</f>
        <v>0.25</v>
      </c>
    </row>
    <row r="1224" spans="1:8" x14ac:dyDescent="0.35">
      <c r="A1224" s="2">
        <v>43926</v>
      </c>
      <c r="B1224" t="s">
        <v>5</v>
      </c>
      <c r="C1224" t="s">
        <v>12</v>
      </c>
      <c r="D1224" t="s">
        <v>16</v>
      </c>
      <c r="E1224" s="7">
        <v>149587.59375</v>
      </c>
      <c r="F1224" s="7">
        <v>131007.24</v>
      </c>
      <c r="G1224" s="8">
        <f>Tabla1[[#This Row],[Ingresos]]-Tabla1[[#This Row],[Gastos]]</f>
        <v>18580.353749999995</v>
      </c>
      <c r="H1224" s="13">
        <f>Tabla1[[#This Row],[Beneficio]]/Tabla1[[#This Row],[Ingresos]]</f>
        <v>0.12421052631578944</v>
      </c>
    </row>
    <row r="1225" spans="1:8" x14ac:dyDescent="0.35">
      <c r="A1225" s="2">
        <v>43927</v>
      </c>
      <c r="B1225" t="s">
        <v>5</v>
      </c>
      <c r="C1225" t="s">
        <v>10</v>
      </c>
      <c r="D1225" t="s">
        <v>17</v>
      </c>
      <c r="E1225" s="7">
        <v>212975.55999999997</v>
      </c>
      <c r="F1225" s="7">
        <v>166537.28</v>
      </c>
      <c r="G1225" s="8">
        <f>Tabla1[[#This Row],[Ingresos]]-Tabla1[[#This Row],[Gastos]]</f>
        <v>46438.27999999997</v>
      </c>
      <c r="H1225" s="13">
        <f>Tabla1[[#This Row],[Beneficio]]/Tabla1[[#This Row],[Ingresos]]</f>
        <v>0.21804511278195476</v>
      </c>
    </row>
    <row r="1226" spans="1:8" x14ac:dyDescent="0.35">
      <c r="A1226" s="2">
        <v>43927</v>
      </c>
      <c r="B1226" t="s">
        <v>6</v>
      </c>
      <c r="C1226" t="s">
        <v>13</v>
      </c>
      <c r="D1226" t="s">
        <v>19</v>
      </c>
      <c r="E1226" s="7">
        <v>177811.19999999998</v>
      </c>
      <c r="F1226" s="7">
        <v>151200</v>
      </c>
      <c r="G1226" s="8">
        <f>Tabla1[[#This Row],[Ingresos]]-Tabla1[[#This Row],[Gastos]]</f>
        <v>26611.199999999983</v>
      </c>
      <c r="H1226" s="13">
        <f>Tabla1[[#This Row],[Beneficio]]/Tabla1[[#This Row],[Ingresos]]</f>
        <v>0.14965986394557815</v>
      </c>
    </row>
    <row r="1227" spans="1:8" x14ac:dyDescent="0.35">
      <c r="A1227" s="2">
        <v>43928</v>
      </c>
      <c r="B1227" t="s">
        <v>8</v>
      </c>
      <c r="C1227" t="s">
        <v>10</v>
      </c>
      <c r="D1227" t="s">
        <v>15</v>
      </c>
      <c r="E1227" s="7">
        <v>12157.634999999998</v>
      </c>
      <c r="F1227" s="7">
        <v>8270.5</v>
      </c>
      <c r="G1227" s="8">
        <f>Tabla1[[#This Row],[Ingresos]]-Tabla1[[#This Row],[Gastos]]</f>
        <v>3887.1349999999984</v>
      </c>
      <c r="H1227" s="13">
        <f>Tabla1[[#This Row],[Beneficio]]/Tabla1[[#This Row],[Ingresos]]</f>
        <v>0.3197278911564625</v>
      </c>
    </row>
    <row r="1228" spans="1:8" x14ac:dyDescent="0.35">
      <c r="A1228" s="2">
        <v>43929</v>
      </c>
      <c r="B1228" t="s">
        <v>9</v>
      </c>
      <c r="C1228" t="s">
        <v>12</v>
      </c>
      <c r="D1228" t="s">
        <v>15</v>
      </c>
      <c r="E1228" s="7">
        <v>10239.074999999999</v>
      </c>
      <c r="F1228" s="7">
        <v>7584.4999999999991</v>
      </c>
      <c r="G1228" s="8">
        <f>Tabla1[[#This Row],[Ingresos]]-Tabla1[[#This Row],[Gastos]]</f>
        <v>2654.5749999999998</v>
      </c>
      <c r="H1228" s="13">
        <f>Tabla1[[#This Row],[Beneficio]]/Tabla1[[#This Row],[Ingresos]]</f>
        <v>0.25925925925925924</v>
      </c>
    </row>
    <row r="1229" spans="1:8" x14ac:dyDescent="0.35">
      <c r="A1229" s="2">
        <v>43929</v>
      </c>
      <c r="B1229" t="s">
        <v>6</v>
      </c>
      <c r="C1229" t="s">
        <v>11</v>
      </c>
      <c r="D1229" t="s">
        <v>19</v>
      </c>
      <c r="E1229" s="7">
        <v>22020.6</v>
      </c>
      <c r="F1229" s="7">
        <v>18725</v>
      </c>
      <c r="G1229" s="8">
        <f>Tabla1[[#This Row],[Ingresos]]-Tabla1[[#This Row],[Gastos]]</f>
        <v>3295.5999999999985</v>
      </c>
      <c r="H1229" s="13">
        <f>Tabla1[[#This Row],[Beneficio]]/Tabla1[[#This Row],[Ingresos]]</f>
        <v>0.14965986394557818</v>
      </c>
    </row>
    <row r="1230" spans="1:8" x14ac:dyDescent="0.35">
      <c r="A1230" s="2">
        <v>43929</v>
      </c>
      <c r="B1230" t="s">
        <v>9</v>
      </c>
      <c r="C1230" t="s">
        <v>10</v>
      </c>
      <c r="D1230" t="s">
        <v>19</v>
      </c>
      <c r="E1230" s="7">
        <v>306353.12400000001</v>
      </c>
      <c r="F1230" s="7">
        <v>290107.125</v>
      </c>
      <c r="G1230" s="8">
        <f>Tabla1[[#This Row],[Ingresos]]-Tabla1[[#This Row],[Gastos]]</f>
        <v>16245.999000000011</v>
      </c>
      <c r="H1230" s="13">
        <f>Tabla1[[#This Row],[Beneficio]]/Tabla1[[#This Row],[Ingresos]]</f>
        <v>5.3030303030303066E-2</v>
      </c>
    </row>
    <row r="1231" spans="1:8" x14ac:dyDescent="0.35">
      <c r="A1231" s="2">
        <v>43930</v>
      </c>
      <c r="B1231" t="s">
        <v>5</v>
      </c>
      <c r="C1231" t="s">
        <v>10</v>
      </c>
      <c r="D1231" t="s">
        <v>17</v>
      </c>
      <c r="E1231" s="7">
        <v>6328.7910000000002</v>
      </c>
      <c r="F1231" s="7">
        <v>4520.5649999999996</v>
      </c>
      <c r="G1231" s="8">
        <f>Tabla1[[#This Row],[Ingresos]]-Tabla1[[#This Row],[Gastos]]</f>
        <v>1808.2260000000006</v>
      </c>
      <c r="H1231" s="13">
        <f>Tabla1[[#This Row],[Beneficio]]/Tabla1[[#This Row],[Ingresos]]</f>
        <v>0.28571428571428581</v>
      </c>
    </row>
    <row r="1232" spans="1:8" x14ac:dyDescent="0.35">
      <c r="A1232" s="2">
        <v>43930</v>
      </c>
      <c r="B1232" t="s">
        <v>5</v>
      </c>
      <c r="C1232" t="s">
        <v>10</v>
      </c>
      <c r="D1232" t="s">
        <v>17</v>
      </c>
      <c r="E1232" s="7">
        <v>18506.949999999997</v>
      </c>
      <c r="F1232" s="7">
        <v>9740.5</v>
      </c>
      <c r="G1232" s="8">
        <f>Tabla1[[#This Row],[Ingresos]]-Tabla1[[#This Row],[Gastos]]</f>
        <v>8766.4499999999971</v>
      </c>
      <c r="H1232" s="13">
        <f>Tabla1[[#This Row],[Beneficio]]/Tabla1[[#This Row],[Ingresos]]</f>
        <v>0.47368421052631571</v>
      </c>
    </row>
    <row r="1233" spans="1:8" x14ac:dyDescent="0.35">
      <c r="A1233" s="2">
        <v>43930</v>
      </c>
      <c r="B1233" t="s">
        <v>5</v>
      </c>
      <c r="C1233" t="s">
        <v>10</v>
      </c>
      <c r="D1233" t="s">
        <v>17</v>
      </c>
      <c r="E1233" s="7">
        <v>705595.59</v>
      </c>
      <c r="F1233" s="7">
        <v>582396.36</v>
      </c>
      <c r="G1233" s="8">
        <f>Tabla1[[#This Row],[Ingresos]]-Tabla1[[#This Row],[Gastos]]</f>
        <v>123199.22999999998</v>
      </c>
      <c r="H1233" s="13">
        <f>Tabla1[[#This Row],[Beneficio]]/Tabla1[[#This Row],[Ingresos]]</f>
        <v>0.17460317460317459</v>
      </c>
    </row>
    <row r="1234" spans="1:8" x14ac:dyDescent="0.35">
      <c r="A1234" s="2">
        <v>43931</v>
      </c>
      <c r="B1234" t="s">
        <v>5</v>
      </c>
      <c r="C1234" t="s">
        <v>12</v>
      </c>
      <c r="D1234" t="s">
        <v>17</v>
      </c>
      <c r="E1234" s="7">
        <v>1528.2119999999998</v>
      </c>
      <c r="F1234" s="7">
        <v>1186.5</v>
      </c>
      <c r="G1234" s="8">
        <f>Tabla1[[#This Row],[Ingresos]]-Tabla1[[#This Row],[Gastos]]</f>
        <v>341.71199999999976</v>
      </c>
      <c r="H1234" s="13">
        <f>Tabla1[[#This Row],[Beneficio]]/Tabla1[[#This Row],[Ingresos]]</f>
        <v>0.22360248447204956</v>
      </c>
    </row>
    <row r="1235" spans="1:8" x14ac:dyDescent="0.35">
      <c r="A1235" s="2">
        <v>43931</v>
      </c>
      <c r="B1235" t="s">
        <v>8</v>
      </c>
      <c r="C1235" t="s">
        <v>13</v>
      </c>
      <c r="D1235" t="s">
        <v>18</v>
      </c>
      <c r="E1235" s="7">
        <v>5330.22</v>
      </c>
      <c r="F1235" s="7">
        <v>4079.2499999999995</v>
      </c>
      <c r="G1235" s="8">
        <f>Tabla1[[#This Row],[Ingresos]]-Tabla1[[#This Row],[Gastos]]</f>
        <v>1250.9700000000007</v>
      </c>
      <c r="H1235" s="13">
        <f>Tabla1[[#This Row],[Beneficio]]/Tabla1[[#This Row],[Ingresos]]</f>
        <v>0.23469387755102053</v>
      </c>
    </row>
    <row r="1236" spans="1:8" x14ac:dyDescent="0.35">
      <c r="A1236" s="2">
        <v>43932</v>
      </c>
      <c r="B1236" t="s">
        <v>6</v>
      </c>
      <c r="C1236" t="s">
        <v>13</v>
      </c>
      <c r="D1236" t="s">
        <v>18</v>
      </c>
      <c r="E1236" s="7">
        <v>6489</v>
      </c>
      <c r="F1236" s="7">
        <v>4866.75</v>
      </c>
      <c r="G1236" s="8">
        <f>Tabla1[[#This Row],[Ingresos]]-Tabla1[[#This Row],[Gastos]]</f>
        <v>1622.25</v>
      </c>
      <c r="H1236" s="13">
        <f>Tabla1[[#This Row],[Beneficio]]/Tabla1[[#This Row],[Ingresos]]</f>
        <v>0.25</v>
      </c>
    </row>
    <row r="1237" spans="1:8" x14ac:dyDescent="0.35">
      <c r="A1237" s="2">
        <v>43933</v>
      </c>
      <c r="B1237" t="s">
        <v>5</v>
      </c>
      <c r="C1237" t="s">
        <v>11</v>
      </c>
      <c r="D1237" t="s">
        <v>17</v>
      </c>
      <c r="E1237" s="7">
        <v>1326.675</v>
      </c>
      <c r="F1237" s="7">
        <v>997.49999999999989</v>
      </c>
      <c r="G1237" s="8">
        <f>Tabla1[[#This Row],[Ingresos]]-Tabla1[[#This Row],[Gastos]]</f>
        <v>329.17500000000007</v>
      </c>
      <c r="H1237" s="13">
        <f>Tabla1[[#This Row],[Beneficio]]/Tabla1[[#This Row],[Ingresos]]</f>
        <v>0.24812030075187977</v>
      </c>
    </row>
    <row r="1238" spans="1:8" x14ac:dyDescent="0.35">
      <c r="A1238" s="2">
        <v>43933</v>
      </c>
      <c r="B1238" t="s">
        <v>5</v>
      </c>
      <c r="C1238" t="s">
        <v>10</v>
      </c>
      <c r="D1238" t="s">
        <v>17</v>
      </c>
      <c r="E1238" s="7">
        <v>30724.293599999997</v>
      </c>
      <c r="F1238" s="7">
        <v>15675.659999999998</v>
      </c>
      <c r="G1238" s="8">
        <f>Tabla1[[#This Row],[Ingresos]]-Tabla1[[#This Row],[Gastos]]</f>
        <v>15048.633599999999</v>
      </c>
      <c r="H1238" s="13">
        <f>Tabla1[[#This Row],[Beneficio]]/Tabla1[[#This Row],[Ingresos]]</f>
        <v>0.48979591836734698</v>
      </c>
    </row>
    <row r="1239" spans="1:8" x14ac:dyDescent="0.35">
      <c r="A1239" s="2">
        <v>43934</v>
      </c>
      <c r="B1239" t="s">
        <v>9</v>
      </c>
      <c r="C1239" t="s">
        <v>13</v>
      </c>
      <c r="D1239" t="s">
        <v>17</v>
      </c>
      <c r="E1239" s="7">
        <v>926729.57649999997</v>
      </c>
      <c r="F1239" s="7">
        <v>756513.94</v>
      </c>
      <c r="G1239" s="8">
        <f>Tabla1[[#This Row],[Ingresos]]-Tabla1[[#This Row],[Gastos]]</f>
        <v>170215.63650000002</v>
      </c>
      <c r="H1239" s="13">
        <f>Tabla1[[#This Row],[Beneficio]]/Tabla1[[#This Row],[Ingresos]]</f>
        <v>0.18367346938775514</v>
      </c>
    </row>
    <row r="1240" spans="1:8" x14ac:dyDescent="0.35">
      <c r="A1240" s="2">
        <v>43935</v>
      </c>
      <c r="B1240" t="s">
        <v>5</v>
      </c>
      <c r="C1240" t="s">
        <v>43</v>
      </c>
      <c r="D1240" t="s">
        <v>16</v>
      </c>
      <c r="E1240" s="7">
        <v>41290.745192307688</v>
      </c>
      <c r="F1240" s="7">
        <v>36162</v>
      </c>
      <c r="G1240" s="8">
        <f>Tabla1[[#This Row],[Ingresos]]-Tabla1[[#This Row],[Gastos]]</f>
        <v>5128.7451923076878</v>
      </c>
      <c r="H1240" s="13">
        <f>Tabla1[[#This Row],[Beneficio]]/Tabla1[[#This Row],[Ingresos]]</f>
        <v>0.12421052631578938</v>
      </c>
    </row>
    <row r="1241" spans="1:8" x14ac:dyDescent="0.35">
      <c r="A1241" s="2">
        <v>43936</v>
      </c>
      <c r="B1241" t="s">
        <v>8</v>
      </c>
      <c r="C1241" t="s">
        <v>11</v>
      </c>
      <c r="D1241" t="s">
        <v>17</v>
      </c>
      <c r="E1241" s="7">
        <v>11264.302</v>
      </c>
      <c r="F1241" s="7">
        <v>5928.579999999999</v>
      </c>
      <c r="G1241" s="8">
        <f>Tabla1[[#This Row],[Ingresos]]-Tabla1[[#This Row],[Gastos]]</f>
        <v>5335.7220000000007</v>
      </c>
      <c r="H1241" s="13">
        <f>Tabla1[[#This Row],[Beneficio]]/Tabla1[[#This Row],[Ingresos]]</f>
        <v>0.47368421052631587</v>
      </c>
    </row>
    <row r="1242" spans="1:8" x14ac:dyDescent="0.35">
      <c r="A1242" s="2">
        <v>43936</v>
      </c>
      <c r="B1242" t="s">
        <v>8</v>
      </c>
      <c r="C1242" t="s">
        <v>13</v>
      </c>
      <c r="D1242" t="s">
        <v>19</v>
      </c>
      <c r="E1242" s="7">
        <v>24290.699999999997</v>
      </c>
      <c r="F1242" s="7">
        <v>23537.5</v>
      </c>
      <c r="G1242" s="8">
        <f>Tabla1[[#This Row],[Ingresos]]-Tabla1[[#This Row],[Gastos]]</f>
        <v>753.19999999999709</v>
      </c>
      <c r="H1242" s="13">
        <f>Tabla1[[#This Row],[Beneficio]]/Tabla1[[#This Row],[Ingresos]]</f>
        <v>3.1007751937984381E-2</v>
      </c>
    </row>
    <row r="1243" spans="1:8" x14ac:dyDescent="0.35">
      <c r="A1243" s="2">
        <v>43937</v>
      </c>
      <c r="B1243" t="s">
        <v>9</v>
      </c>
      <c r="C1243" t="s">
        <v>11</v>
      </c>
      <c r="D1243" t="s">
        <v>16</v>
      </c>
      <c r="E1243" s="7">
        <v>301554.95192307688</v>
      </c>
      <c r="F1243" s="7">
        <v>196105</v>
      </c>
      <c r="G1243" s="8">
        <f>Tabla1[[#This Row],[Ingresos]]-Tabla1[[#This Row],[Gastos]]</f>
        <v>105449.95192307688</v>
      </c>
      <c r="H1243" s="13">
        <f>Tabla1[[#This Row],[Beneficio]]/Tabla1[[#This Row],[Ingresos]]</f>
        <v>0.3496873496873496</v>
      </c>
    </row>
    <row r="1244" spans="1:8" x14ac:dyDescent="0.35">
      <c r="A1244" s="2">
        <v>43937</v>
      </c>
      <c r="B1244" t="s">
        <v>8</v>
      </c>
      <c r="C1244" t="s">
        <v>11</v>
      </c>
      <c r="D1244" t="s">
        <v>17</v>
      </c>
      <c r="E1244" s="7">
        <v>24200.546999999999</v>
      </c>
      <c r="F1244" s="7">
        <v>12737.130000000001</v>
      </c>
      <c r="G1244" s="8">
        <f>Tabla1[[#This Row],[Ingresos]]-Tabla1[[#This Row],[Gastos]]</f>
        <v>11463.416999999998</v>
      </c>
      <c r="H1244" s="13">
        <f>Tabla1[[#This Row],[Beneficio]]/Tabla1[[#This Row],[Ingresos]]</f>
        <v>0.47368421052631571</v>
      </c>
    </row>
    <row r="1245" spans="1:8" x14ac:dyDescent="0.35">
      <c r="A1245" s="2">
        <v>43937</v>
      </c>
      <c r="B1245" t="s">
        <v>7</v>
      </c>
      <c r="C1245" t="s">
        <v>10</v>
      </c>
      <c r="D1245" t="s">
        <v>17</v>
      </c>
      <c r="E1245" s="7">
        <v>18940.389930000001</v>
      </c>
      <c r="F1245" s="7">
        <v>15200.955</v>
      </c>
      <c r="G1245" s="8">
        <f>Tabla1[[#This Row],[Ingresos]]-Tabla1[[#This Row],[Gastos]]</f>
        <v>3739.4349300000013</v>
      </c>
      <c r="H1245" s="13">
        <f>Tabla1[[#This Row],[Beneficio]]/Tabla1[[#This Row],[Ingresos]]</f>
        <v>0.19743178170144468</v>
      </c>
    </row>
    <row r="1246" spans="1:8" x14ac:dyDescent="0.35">
      <c r="A1246" s="2">
        <v>43938</v>
      </c>
      <c r="B1246" t="s">
        <v>6</v>
      </c>
      <c r="C1246" t="s">
        <v>11</v>
      </c>
      <c r="D1246" t="s">
        <v>18</v>
      </c>
      <c r="E1246" s="7">
        <v>3363.36</v>
      </c>
      <c r="F1246" s="7">
        <v>2772</v>
      </c>
      <c r="G1246" s="8">
        <f>Tabla1[[#This Row],[Ingresos]]-Tabla1[[#This Row],[Gastos]]</f>
        <v>591.36000000000013</v>
      </c>
      <c r="H1246" s="13">
        <f>Tabla1[[#This Row],[Beneficio]]/Tabla1[[#This Row],[Ingresos]]</f>
        <v>0.17582417582417587</v>
      </c>
    </row>
    <row r="1247" spans="1:8" x14ac:dyDescent="0.35">
      <c r="A1247" s="2">
        <v>43940</v>
      </c>
      <c r="B1247" t="s">
        <v>6</v>
      </c>
      <c r="C1247" t="s">
        <v>11</v>
      </c>
      <c r="D1247" t="s">
        <v>17</v>
      </c>
      <c r="E1247" s="7">
        <v>38047.274999999994</v>
      </c>
      <c r="F1247" s="7">
        <v>32486.999999999996</v>
      </c>
      <c r="G1247" s="8">
        <f>Tabla1[[#This Row],[Ingresos]]-Tabla1[[#This Row],[Gastos]]</f>
        <v>5560.2749999999978</v>
      </c>
      <c r="H1247" s="13">
        <f>Tabla1[[#This Row],[Beneficio]]/Tabla1[[#This Row],[Ingresos]]</f>
        <v>0.14614121510673231</v>
      </c>
    </row>
    <row r="1248" spans="1:8" x14ac:dyDescent="0.35">
      <c r="A1248" s="2">
        <v>43940</v>
      </c>
      <c r="B1248" t="s">
        <v>8</v>
      </c>
      <c r="C1248" t="s">
        <v>13</v>
      </c>
      <c r="D1248" t="s">
        <v>17</v>
      </c>
      <c r="E1248" s="7">
        <v>42212.404499999997</v>
      </c>
      <c r="F1248" s="7">
        <v>22217.055</v>
      </c>
      <c r="G1248" s="8">
        <f>Tabla1[[#This Row],[Ingresos]]-Tabla1[[#This Row],[Gastos]]</f>
        <v>19995.349499999997</v>
      </c>
      <c r="H1248" s="13">
        <f>Tabla1[[#This Row],[Beneficio]]/Tabla1[[#This Row],[Ingresos]]</f>
        <v>0.47368421052631576</v>
      </c>
    </row>
    <row r="1249" spans="1:8" x14ac:dyDescent="0.35">
      <c r="A1249" s="2">
        <v>43941</v>
      </c>
      <c r="B1249" t="s">
        <v>6</v>
      </c>
      <c r="C1249" t="s">
        <v>13</v>
      </c>
      <c r="D1249" t="s">
        <v>15</v>
      </c>
      <c r="E1249" s="7">
        <v>3434.1299999999997</v>
      </c>
      <c r="F1249" s="7">
        <v>2488.5</v>
      </c>
      <c r="G1249" s="8">
        <f>Tabla1[[#This Row],[Ingresos]]-Tabla1[[#This Row],[Gastos]]</f>
        <v>945.62999999999965</v>
      </c>
      <c r="H1249" s="13">
        <f>Tabla1[[#This Row],[Beneficio]]/Tabla1[[#This Row],[Ingresos]]</f>
        <v>0.27536231884057966</v>
      </c>
    </row>
    <row r="1250" spans="1:8" x14ac:dyDescent="0.35">
      <c r="A1250" s="2">
        <v>43941</v>
      </c>
      <c r="B1250" t="s">
        <v>8</v>
      </c>
      <c r="C1250" t="s">
        <v>12</v>
      </c>
      <c r="D1250" t="s">
        <v>15</v>
      </c>
      <c r="E1250" s="7">
        <v>4120.2</v>
      </c>
      <c r="F1250" s="7">
        <v>2861.25</v>
      </c>
      <c r="G1250" s="8">
        <f>Tabla1[[#This Row],[Ingresos]]-Tabla1[[#This Row],[Gastos]]</f>
        <v>1258.9499999999998</v>
      </c>
      <c r="H1250" s="13">
        <f>Tabla1[[#This Row],[Beneficio]]/Tabla1[[#This Row],[Ingresos]]</f>
        <v>0.30555555555555552</v>
      </c>
    </row>
    <row r="1251" spans="1:8" x14ac:dyDescent="0.35">
      <c r="A1251" s="2">
        <v>43941</v>
      </c>
      <c r="B1251" t="s">
        <v>7</v>
      </c>
      <c r="C1251" t="s">
        <v>43</v>
      </c>
      <c r="D1251" t="s">
        <v>17</v>
      </c>
      <c r="E1251" s="7">
        <v>3638.7890000000002</v>
      </c>
      <c r="F1251" s="7">
        <v>3022.25</v>
      </c>
      <c r="G1251" s="8">
        <f>Tabla1[[#This Row],[Ingresos]]-Tabla1[[#This Row],[Gastos]]</f>
        <v>616.53900000000021</v>
      </c>
      <c r="H1251" s="13">
        <f>Tabla1[[#This Row],[Beneficio]]/Tabla1[[#This Row],[Ingresos]]</f>
        <v>0.16943521594684391</v>
      </c>
    </row>
    <row r="1252" spans="1:8" x14ac:dyDescent="0.35">
      <c r="A1252" s="2">
        <v>43941</v>
      </c>
      <c r="B1252" t="s">
        <v>9</v>
      </c>
      <c r="C1252" t="s">
        <v>10</v>
      </c>
      <c r="D1252" t="s">
        <v>17</v>
      </c>
      <c r="E1252" s="7">
        <v>1743.35</v>
      </c>
      <c r="F1252" s="7">
        <v>1025.5</v>
      </c>
      <c r="G1252" s="8">
        <f>Tabla1[[#This Row],[Ingresos]]-Tabla1[[#This Row],[Gastos]]</f>
        <v>717.84999999999991</v>
      </c>
      <c r="H1252" s="13">
        <f>Tabla1[[#This Row],[Beneficio]]/Tabla1[[#This Row],[Ingresos]]</f>
        <v>0.41176470588235292</v>
      </c>
    </row>
    <row r="1253" spans="1:8" x14ac:dyDescent="0.35">
      <c r="A1253" s="2">
        <v>43941</v>
      </c>
      <c r="B1253" t="s">
        <v>7</v>
      </c>
      <c r="C1253" t="s">
        <v>13</v>
      </c>
      <c r="D1253" t="s">
        <v>17</v>
      </c>
      <c r="E1253" s="7">
        <v>166241.81</v>
      </c>
      <c r="F1253" s="7">
        <v>145286.96</v>
      </c>
      <c r="G1253" s="8">
        <f>Tabla1[[#This Row],[Ingresos]]-Tabla1[[#This Row],[Gastos]]</f>
        <v>20954.850000000006</v>
      </c>
      <c r="H1253" s="13">
        <f>Tabla1[[#This Row],[Beneficio]]/Tabla1[[#This Row],[Ingresos]]</f>
        <v>0.12605042016806725</v>
      </c>
    </row>
    <row r="1254" spans="1:8" x14ac:dyDescent="0.35">
      <c r="A1254" s="2">
        <v>43942</v>
      </c>
      <c r="B1254" t="s">
        <v>6</v>
      </c>
      <c r="C1254" t="s">
        <v>13</v>
      </c>
      <c r="D1254" t="s">
        <v>17</v>
      </c>
      <c r="E1254" s="7">
        <v>18640.16</v>
      </c>
      <c r="F1254" s="7">
        <v>10472</v>
      </c>
      <c r="G1254" s="8">
        <f>Tabla1[[#This Row],[Ingresos]]-Tabla1[[#This Row],[Gastos]]</f>
        <v>8168.16</v>
      </c>
      <c r="H1254" s="13">
        <f>Tabla1[[#This Row],[Beneficio]]/Tabla1[[#This Row],[Ingresos]]</f>
        <v>0.43820224719101125</v>
      </c>
    </row>
    <row r="1255" spans="1:8" x14ac:dyDescent="0.35">
      <c r="A1255" s="2">
        <v>43942</v>
      </c>
      <c r="B1255" t="s">
        <v>8</v>
      </c>
      <c r="C1255" t="s">
        <v>43</v>
      </c>
      <c r="D1255" t="s">
        <v>17</v>
      </c>
      <c r="E1255" s="7">
        <v>5149.7249999999995</v>
      </c>
      <c r="F1255" s="7">
        <v>3029.25</v>
      </c>
      <c r="G1255" s="8">
        <f>Tabla1[[#This Row],[Ingresos]]-Tabla1[[#This Row],[Gastos]]</f>
        <v>2120.4749999999995</v>
      </c>
      <c r="H1255" s="13">
        <f>Tabla1[[#This Row],[Beneficio]]/Tabla1[[#This Row],[Ingresos]]</f>
        <v>0.41176470588235287</v>
      </c>
    </row>
    <row r="1256" spans="1:8" x14ac:dyDescent="0.35">
      <c r="A1256" s="2">
        <v>43943</v>
      </c>
      <c r="B1256" t="s">
        <v>5</v>
      </c>
      <c r="C1256" t="s">
        <v>10</v>
      </c>
      <c r="D1256" t="s">
        <v>15</v>
      </c>
      <c r="E1256" s="7">
        <v>4971.3047999999999</v>
      </c>
      <c r="F1256" s="7">
        <v>3452.2950000000001</v>
      </c>
      <c r="G1256" s="8">
        <f>Tabla1[[#This Row],[Ingresos]]-Tabla1[[#This Row],[Gastos]]</f>
        <v>1519.0097999999998</v>
      </c>
      <c r="H1256" s="13">
        <f>Tabla1[[#This Row],[Beneficio]]/Tabla1[[#This Row],[Ingresos]]</f>
        <v>0.30555555555555552</v>
      </c>
    </row>
    <row r="1257" spans="1:8" x14ac:dyDescent="0.35">
      <c r="A1257" s="2">
        <v>43943</v>
      </c>
      <c r="B1257" t="s">
        <v>8</v>
      </c>
      <c r="C1257" t="s">
        <v>12</v>
      </c>
      <c r="D1257" t="s">
        <v>17</v>
      </c>
      <c r="E1257" s="7">
        <v>247235.62499999997</v>
      </c>
      <c r="F1257" s="7">
        <v>183660.75</v>
      </c>
      <c r="G1257" s="8">
        <f>Tabla1[[#This Row],[Ingresos]]-Tabla1[[#This Row],[Gastos]]</f>
        <v>63574.874999999971</v>
      </c>
      <c r="H1257" s="13">
        <f>Tabla1[[#This Row],[Beneficio]]/Tabla1[[#This Row],[Ingresos]]</f>
        <v>0.25714285714285706</v>
      </c>
    </row>
    <row r="1258" spans="1:8" x14ac:dyDescent="0.35">
      <c r="A1258" s="2">
        <v>43943</v>
      </c>
      <c r="B1258" t="s">
        <v>5</v>
      </c>
      <c r="C1258" t="s">
        <v>13</v>
      </c>
      <c r="D1258" t="s">
        <v>19</v>
      </c>
      <c r="E1258" s="7">
        <v>970136.05500000005</v>
      </c>
      <c r="F1258" s="7">
        <v>898274.125</v>
      </c>
      <c r="G1258" s="8">
        <f>Tabla1[[#This Row],[Ingresos]]-Tabla1[[#This Row],[Gastos]]</f>
        <v>71861.930000000051</v>
      </c>
      <c r="H1258" s="13">
        <f>Tabla1[[#This Row],[Beneficio]]/Tabla1[[#This Row],[Ingresos]]</f>
        <v>7.4074074074074125E-2</v>
      </c>
    </row>
    <row r="1259" spans="1:8" x14ac:dyDescent="0.35">
      <c r="A1259" s="2">
        <v>43944</v>
      </c>
      <c r="B1259" t="s">
        <v>9</v>
      </c>
      <c r="C1259" t="s">
        <v>10</v>
      </c>
      <c r="D1259" t="s">
        <v>15</v>
      </c>
      <c r="E1259" s="7">
        <v>18258.581249999999</v>
      </c>
      <c r="F1259" s="7">
        <v>13991.25</v>
      </c>
      <c r="G1259" s="8">
        <f>Tabla1[[#This Row],[Ingresos]]-Tabla1[[#This Row],[Gastos]]</f>
        <v>4267.3312499999993</v>
      </c>
      <c r="H1259" s="13">
        <f>Tabla1[[#This Row],[Beneficio]]/Tabla1[[#This Row],[Ingresos]]</f>
        <v>0.23371647509578541</v>
      </c>
    </row>
    <row r="1260" spans="1:8" x14ac:dyDescent="0.35">
      <c r="A1260" s="2">
        <v>43944</v>
      </c>
      <c r="B1260" t="s">
        <v>7</v>
      </c>
      <c r="C1260" t="s">
        <v>13</v>
      </c>
      <c r="D1260" t="s">
        <v>16</v>
      </c>
      <c r="E1260" s="7">
        <v>248171.53846153841</v>
      </c>
      <c r="F1260" s="7">
        <v>215082</v>
      </c>
      <c r="G1260" s="8">
        <f>Tabla1[[#This Row],[Ingresos]]-Tabla1[[#This Row],[Gastos]]</f>
        <v>33089.53846153841</v>
      </c>
      <c r="H1260" s="13">
        <f>Tabla1[[#This Row],[Beneficio]]/Tabla1[[#This Row],[Ingresos]]</f>
        <v>0.13333333333333316</v>
      </c>
    </row>
    <row r="1261" spans="1:8" x14ac:dyDescent="0.35">
      <c r="A1261" s="2">
        <v>43944</v>
      </c>
      <c r="B1261" t="s">
        <v>8</v>
      </c>
      <c r="C1261" t="s">
        <v>11</v>
      </c>
      <c r="D1261" t="s">
        <v>17</v>
      </c>
      <c r="E1261" s="7">
        <v>229443.11249999999</v>
      </c>
      <c r="F1261" s="7">
        <v>191509.5</v>
      </c>
      <c r="G1261" s="8">
        <f>Tabla1[[#This Row],[Ingresos]]-Tabla1[[#This Row],[Gastos]]</f>
        <v>37933.612499999988</v>
      </c>
      <c r="H1261" s="13">
        <f>Tabla1[[#This Row],[Beneficio]]/Tabla1[[#This Row],[Ingresos]]</f>
        <v>0.16532905296950237</v>
      </c>
    </row>
    <row r="1262" spans="1:8" x14ac:dyDescent="0.35">
      <c r="A1262" s="2">
        <v>43944</v>
      </c>
      <c r="B1262" t="s">
        <v>9</v>
      </c>
      <c r="C1262" t="s">
        <v>10</v>
      </c>
      <c r="D1262" t="s">
        <v>17</v>
      </c>
      <c r="E1262" s="7">
        <v>259405.111875</v>
      </c>
      <c r="F1262" s="7">
        <v>202843.095</v>
      </c>
      <c r="G1262" s="8">
        <f>Tabla1[[#This Row],[Ingresos]]-Tabla1[[#This Row],[Gastos]]</f>
        <v>56562.016875000001</v>
      </c>
      <c r="H1262" s="13">
        <f>Tabla1[[#This Row],[Beneficio]]/Tabla1[[#This Row],[Ingresos]]</f>
        <v>0.2180451127819549</v>
      </c>
    </row>
    <row r="1263" spans="1:8" x14ac:dyDescent="0.35">
      <c r="A1263" s="2">
        <v>43945</v>
      </c>
      <c r="B1263" t="s">
        <v>9</v>
      </c>
      <c r="C1263" t="s">
        <v>10</v>
      </c>
      <c r="D1263" t="s">
        <v>15</v>
      </c>
      <c r="E1263" s="7">
        <v>1668.3975</v>
      </c>
      <c r="F1263" s="7">
        <v>1123.5</v>
      </c>
      <c r="G1263" s="8">
        <f>Tabla1[[#This Row],[Ingresos]]-Tabla1[[#This Row],[Gastos]]</f>
        <v>544.89750000000004</v>
      </c>
      <c r="H1263" s="13">
        <f>Tabla1[[#This Row],[Beneficio]]/Tabla1[[#This Row],[Ingresos]]</f>
        <v>0.32659932659932661</v>
      </c>
    </row>
    <row r="1264" spans="1:8" x14ac:dyDescent="0.35">
      <c r="A1264" s="2">
        <v>43945</v>
      </c>
      <c r="B1264" t="s">
        <v>9</v>
      </c>
      <c r="C1264" t="s">
        <v>12</v>
      </c>
      <c r="D1264" t="s">
        <v>15</v>
      </c>
      <c r="E1264" s="7">
        <v>6532.0919999999996</v>
      </c>
      <c r="F1264" s="7">
        <v>4733.3999999999996</v>
      </c>
      <c r="G1264" s="8">
        <f>Tabla1[[#This Row],[Ingresos]]-Tabla1[[#This Row],[Gastos]]</f>
        <v>1798.692</v>
      </c>
      <c r="H1264" s="13">
        <f>Tabla1[[#This Row],[Beneficio]]/Tabla1[[#This Row],[Ingresos]]</f>
        <v>0.27536231884057971</v>
      </c>
    </row>
    <row r="1265" spans="1:8" x14ac:dyDescent="0.35">
      <c r="A1265" s="2">
        <v>43947</v>
      </c>
      <c r="B1265" t="s">
        <v>8</v>
      </c>
      <c r="C1265" t="s">
        <v>12</v>
      </c>
      <c r="D1265" t="s">
        <v>15</v>
      </c>
      <c r="E1265" s="7">
        <v>6161.7150000000001</v>
      </c>
      <c r="F1265" s="7">
        <v>4417</v>
      </c>
      <c r="G1265" s="8">
        <f>Tabla1[[#This Row],[Ingresos]]-Tabla1[[#This Row],[Gastos]]</f>
        <v>1744.7150000000001</v>
      </c>
      <c r="H1265" s="13">
        <f>Tabla1[[#This Row],[Beneficio]]/Tabla1[[#This Row],[Ingresos]]</f>
        <v>0.28315412186379929</v>
      </c>
    </row>
    <row r="1266" spans="1:8" x14ac:dyDescent="0.35">
      <c r="A1266" s="2">
        <v>43947</v>
      </c>
      <c r="B1266" t="s">
        <v>7</v>
      </c>
      <c r="C1266" t="s">
        <v>12</v>
      </c>
      <c r="D1266" t="s">
        <v>17</v>
      </c>
      <c r="E1266" s="7">
        <v>5543.0943749999997</v>
      </c>
      <c r="F1266" s="7">
        <v>4658.0625</v>
      </c>
      <c r="G1266" s="8">
        <f>Tabla1[[#This Row],[Ingresos]]-Tabla1[[#This Row],[Gastos]]</f>
        <v>885.03187499999967</v>
      </c>
      <c r="H1266" s="13">
        <f>Tabla1[[#This Row],[Beneficio]]/Tabla1[[#This Row],[Ingresos]]</f>
        <v>0.15966386554621845</v>
      </c>
    </row>
    <row r="1267" spans="1:8" x14ac:dyDescent="0.35">
      <c r="A1267" s="2">
        <v>43948</v>
      </c>
      <c r="B1267" t="s">
        <v>7</v>
      </c>
      <c r="C1267" t="s">
        <v>10</v>
      </c>
      <c r="D1267" t="s">
        <v>15</v>
      </c>
      <c r="E1267" s="7">
        <v>10078.5825</v>
      </c>
      <c r="F1267" s="7">
        <v>7549.4999999999991</v>
      </c>
      <c r="G1267" s="8">
        <f>Tabla1[[#This Row],[Ingresos]]-Tabla1[[#This Row],[Gastos]]</f>
        <v>2529.0825000000013</v>
      </c>
      <c r="H1267" s="13">
        <f>Tabla1[[#This Row],[Beneficio]]/Tabla1[[#This Row],[Ingresos]]</f>
        <v>0.25093632958801509</v>
      </c>
    </row>
    <row r="1268" spans="1:8" x14ac:dyDescent="0.35">
      <c r="A1268" s="2">
        <v>43948</v>
      </c>
      <c r="B1268" t="s">
        <v>9</v>
      </c>
      <c r="C1268" t="s">
        <v>13</v>
      </c>
      <c r="D1268" t="s">
        <v>17</v>
      </c>
      <c r="E1268" s="7">
        <v>10500.349999999999</v>
      </c>
      <c r="F1268" s="7">
        <v>5526.5</v>
      </c>
      <c r="G1268" s="8">
        <f>Tabla1[[#This Row],[Ingresos]]-Tabla1[[#This Row],[Gastos]]</f>
        <v>4973.8499999999985</v>
      </c>
      <c r="H1268" s="13">
        <f>Tabla1[[#This Row],[Beneficio]]/Tabla1[[#This Row],[Ingresos]]</f>
        <v>0.47368421052631571</v>
      </c>
    </row>
    <row r="1269" spans="1:8" x14ac:dyDescent="0.35">
      <c r="A1269" s="2">
        <v>43948</v>
      </c>
      <c r="B1269" t="s">
        <v>7</v>
      </c>
      <c r="C1269" t="s">
        <v>11</v>
      </c>
      <c r="D1269" t="s">
        <v>17</v>
      </c>
      <c r="E1269" s="7">
        <v>15525.58</v>
      </c>
      <c r="F1269" s="7">
        <v>9026.5</v>
      </c>
      <c r="G1269" s="8">
        <f>Tabla1[[#This Row],[Ingresos]]-Tabla1[[#This Row],[Gastos]]</f>
        <v>6499.08</v>
      </c>
      <c r="H1269" s="13">
        <f>Tabla1[[#This Row],[Beneficio]]/Tabla1[[#This Row],[Ingresos]]</f>
        <v>0.41860465116279072</v>
      </c>
    </row>
    <row r="1270" spans="1:8" x14ac:dyDescent="0.35">
      <c r="A1270" s="2">
        <v>43949</v>
      </c>
      <c r="B1270" t="s">
        <v>9</v>
      </c>
      <c r="C1270" t="s">
        <v>12</v>
      </c>
      <c r="D1270" t="s">
        <v>19</v>
      </c>
      <c r="E1270" s="7">
        <v>187979.77799999996</v>
      </c>
      <c r="F1270" s="7">
        <v>159846.75</v>
      </c>
      <c r="G1270" s="8">
        <f>Tabla1[[#This Row],[Ingresos]]-Tabla1[[#This Row],[Gastos]]</f>
        <v>28133.027999999962</v>
      </c>
      <c r="H1270" s="13">
        <f>Tabla1[[#This Row],[Beneficio]]/Tabla1[[#This Row],[Ingresos]]</f>
        <v>0.14965986394557806</v>
      </c>
    </row>
    <row r="1271" spans="1:8" x14ac:dyDescent="0.35">
      <c r="A1271" s="2">
        <v>43949</v>
      </c>
      <c r="B1271" t="s">
        <v>6</v>
      </c>
      <c r="C1271" t="s">
        <v>10</v>
      </c>
      <c r="D1271" t="s">
        <v>18</v>
      </c>
      <c r="E1271" s="7">
        <v>25753.587300000003</v>
      </c>
      <c r="F1271" s="7">
        <v>19912.567500000001</v>
      </c>
      <c r="G1271" s="8">
        <f>Tabla1[[#This Row],[Ingresos]]-Tabla1[[#This Row],[Gastos]]</f>
        <v>5841.0198000000019</v>
      </c>
      <c r="H1271" s="13">
        <f>Tabla1[[#This Row],[Beneficio]]/Tabla1[[#This Row],[Ingresos]]</f>
        <v>0.22680412371134026</v>
      </c>
    </row>
    <row r="1272" spans="1:8" x14ac:dyDescent="0.35">
      <c r="A1272" s="2">
        <v>43951</v>
      </c>
      <c r="B1272" t="s">
        <v>8</v>
      </c>
      <c r="C1272" t="s">
        <v>43</v>
      </c>
      <c r="D1272" t="s">
        <v>17</v>
      </c>
      <c r="E1272" s="7">
        <v>5467.2974999999997</v>
      </c>
      <c r="F1272" s="7">
        <v>4110.75</v>
      </c>
      <c r="G1272" s="8">
        <f>Tabla1[[#This Row],[Ingresos]]-Tabla1[[#This Row],[Gastos]]</f>
        <v>1356.5474999999997</v>
      </c>
      <c r="H1272" s="13">
        <f>Tabla1[[#This Row],[Beneficio]]/Tabla1[[#This Row],[Ingresos]]</f>
        <v>0.24812030075187966</v>
      </c>
    </row>
    <row r="1273" spans="1:8" x14ac:dyDescent="0.35">
      <c r="A1273" s="2">
        <v>43952</v>
      </c>
      <c r="B1273" t="s">
        <v>8</v>
      </c>
      <c r="C1273" t="s">
        <v>10</v>
      </c>
      <c r="D1273" t="s">
        <v>17</v>
      </c>
      <c r="E1273" s="7">
        <v>2586.0974999999999</v>
      </c>
      <c r="F1273" s="7">
        <v>1986.2499999999998</v>
      </c>
      <c r="G1273" s="8">
        <f>Tabla1[[#This Row],[Ingresos]]-Tabla1[[#This Row],[Gastos]]</f>
        <v>599.84750000000008</v>
      </c>
      <c r="H1273" s="13">
        <f>Tabla1[[#This Row],[Beneficio]]/Tabla1[[#This Row],[Ingresos]]</f>
        <v>0.23195084485407069</v>
      </c>
    </row>
    <row r="1274" spans="1:8" x14ac:dyDescent="0.35">
      <c r="A1274" s="2">
        <v>43953</v>
      </c>
      <c r="B1274" t="s">
        <v>9</v>
      </c>
      <c r="C1274" t="s">
        <v>43</v>
      </c>
      <c r="D1274" t="s">
        <v>19</v>
      </c>
      <c r="E1274" s="7">
        <v>101915.352</v>
      </c>
      <c r="F1274" s="7">
        <v>96510.75</v>
      </c>
      <c r="G1274" s="8">
        <f>Tabla1[[#This Row],[Ingresos]]-Tabla1[[#This Row],[Gastos]]</f>
        <v>5404.601999999999</v>
      </c>
      <c r="H1274" s="13">
        <f>Tabla1[[#This Row],[Beneficio]]/Tabla1[[#This Row],[Ingresos]]</f>
        <v>5.3030303030303018E-2</v>
      </c>
    </row>
    <row r="1275" spans="1:8" x14ac:dyDescent="0.35">
      <c r="A1275" s="2">
        <v>43954</v>
      </c>
      <c r="B1275" t="s">
        <v>5</v>
      </c>
      <c r="C1275" t="s">
        <v>43</v>
      </c>
      <c r="D1275" t="s">
        <v>15</v>
      </c>
      <c r="E1275" s="7">
        <v>5690.0549999999994</v>
      </c>
      <c r="F1275" s="7">
        <v>4035.4999999999995</v>
      </c>
      <c r="G1275" s="8">
        <f>Tabla1[[#This Row],[Ingresos]]-Tabla1[[#This Row],[Gastos]]</f>
        <v>1654.5549999999998</v>
      </c>
      <c r="H1275" s="13">
        <f>Tabla1[[#This Row],[Beneficio]]/Tabla1[[#This Row],[Ingresos]]</f>
        <v>0.29078014184397161</v>
      </c>
    </row>
    <row r="1276" spans="1:8" x14ac:dyDescent="0.35">
      <c r="A1276" s="2">
        <v>43954</v>
      </c>
      <c r="B1276" t="s">
        <v>7</v>
      </c>
      <c r="C1276" t="s">
        <v>10</v>
      </c>
      <c r="D1276" t="s">
        <v>17</v>
      </c>
      <c r="E1276" s="7">
        <v>95510.799999999988</v>
      </c>
      <c r="F1276" s="7">
        <v>80626</v>
      </c>
      <c r="G1276" s="8">
        <f>Tabla1[[#This Row],[Ingresos]]-Tabla1[[#This Row],[Gastos]]</f>
        <v>14884.799999999988</v>
      </c>
      <c r="H1276" s="13">
        <f>Tabla1[[#This Row],[Beneficio]]/Tabla1[[#This Row],[Ingresos]]</f>
        <v>0.15584415584415573</v>
      </c>
    </row>
    <row r="1277" spans="1:8" x14ac:dyDescent="0.35">
      <c r="A1277" s="2">
        <v>43955</v>
      </c>
      <c r="B1277" t="s">
        <v>6</v>
      </c>
      <c r="C1277" t="s">
        <v>13</v>
      </c>
      <c r="D1277" t="s">
        <v>17</v>
      </c>
      <c r="E1277" s="7">
        <v>1340089.338</v>
      </c>
      <c r="F1277" s="7">
        <v>1015811.1599999999</v>
      </c>
      <c r="G1277" s="8">
        <f>Tabla1[[#This Row],[Ingresos]]-Tabla1[[#This Row],[Gastos]]</f>
        <v>324278.17800000007</v>
      </c>
      <c r="H1277" s="13">
        <f>Tabla1[[#This Row],[Beneficio]]/Tabla1[[#This Row],[Ingresos]]</f>
        <v>0.2419825072886298</v>
      </c>
    </row>
    <row r="1278" spans="1:8" x14ac:dyDescent="0.35">
      <c r="A1278" s="2">
        <v>43956</v>
      </c>
      <c r="B1278" t="s">
        <v>7</v>
      </c>
      <c r="C1278" t="s">
        <v>11</v>
      </c>
      <c r="D1278" t="s">
        <v>17</v>
      </c>
      <c r="E1278" s="7">
        <v>153497.4</v>
      </c>
      <c r="F1278" s="7">
        <v>123941.99999999999</v>
      </c>
      <c r="G1278" s="8">
        <f>Tabla1[[#This Row],[Ingresos]]-Tabla1[[#This Row],[Gastos]]</f>
        <v>29555.400000000009</v>
      </c>
      <c r="H1278" s="13">
        <f>Tabla1[[#This Row],[Beneficio]]/Tabla1[[#This Row],[Ingresos]]</f>
        <v>0.19254658385093174</v>
      </c>
    </row>
    <row r="1279" spans="1:8" x14ac:dyDescent="0.35">
      <c r="A1279" s="2">
        <v>43958</v>
      </c>
      <c r="B1279" t="s">
        <v>5</v>
      </c>
      <c r="C1279" t="s">
        <v>11</v>
      </c>
      <c r="D1279" t="s">
        <v>15</v>
      </c>
      <c r="E1279" s="7">
        <v>5690.0549999999994</v>
      </c>
      <c r="F1279" s="7">
        <v>4035.4999999999995</v>
      </c>
      <c r="G1279" s="8">
        <f>Tabla1[[#This Row],[Ingresos]]-Tabla1[[#This Row],[Gastos]]</f>
        <v>1654.5549999999998</v>
      </c>
      <c r="H1279" s="13">
        <f>Tabla1[[#This Row],[Beneficio]]/Tabla1[[#This Row],[Ingresos]]</f>
        <v>0.29078014184397161</v>
      </c>
    </row>
    <row r="1280" spans="1:8" x14ac:dyDescent="0.35">
      <c r="A1280" s="2">
        <v>43958</v>
      </c>
      <c r="B1280" t="s">
        <v>7</v>
      </c>
      <c r="C1280" t="s">
        <v>12</v>
      </c>
      <c r="D1280" t="s">
        <v>16</v>
      </c>
      <c r="E1280" s="7">
        <v>83325.25384615385</v>
      </c>
      <c r="F1280" s="7">
        <v>78780.239999999991</v>
      </c>
      <c r="G1280" s="8">
        <f>Tabla1[[#This Row],[Ingresos]]-Tabla1[[#This Row],[Gastos]]</f>
        <v>4545.013846153859</v>
      </c>
      <c r="H1280" s="13">
        <f>Tabla1[[#This Row],[Beneficio]]/Tabla1[[#This Row],[Ingresos]]</f>
        <v>5.4545454545454695E-2</v>
      </c>
    </row>
    <row r="1281" spans="1:8" x14ac:dyDescent="0.35">
      <c r="A1281" s="2">
        <v>43958</v>
      </c>
      <c r="B1281" t="s">
        <v>9</v>
      </c>
      <c r="C1281" t="s">
        <v>13</v>
      </c>
      <c r="D1281" t="s">
        <v>17</v>
      </c>
      <c r="E1281" s="7">
        <v>134953.35</v>
      </c>
      <c r="F1281" s="7">
        <v>116570.99999999999</v>
      </c>
      <c r="G1281" s="8">
        <f>Tabla1[[#This Row],[Ingresos]]-Tabla1[[#This Row],[Gastos]]</f>
        <v>18382.35000000002</v>
      </c>
      <c r="H1281" s="13">
        <f>Tabla1[[#This Row],[Beneficio]]/Tabla1[[#This Row],[Ingresos]]</f>
        <v>0.13621262458471775</v>
      </c>
    </row>
    <row r="1282" spans="1:8" x14ac:dyDescent="0.35">
      <c r="A1282" s="2">
        <v>43960</v>
      </c>
      <c r="B1282" t="s">
        <v>7</v>
      </c>
      <c r="C1282" t="s">
        <v>43</v>
      </c>
      <c r="D1282" t="s">
        <v>15</v>
      </c>
      <c r="E1282" s="7">
        <v>7630.5599999999986</v>
      </c>
      <c r="F1282" s="7">
        <v>5299</v>
      </c>
      <c r="G1282" s="8">
        <f>Tabla1[[#This Row],[Ingresos]]-Tabla1[[#This Row],[Gastos]]</f>
        <v>2331.5599999999986</v>
      </c>
      <c r="H1282" s="13">
        <f>Tabla1[[#This Row],[Beneficio]]/Tabla1[[#This Row],[Ingresos]]</f>
        <v>0.30555555555555541</v>
      </c>
    </row>
    <row r="1283" spans="1:8" x14ac:dyDescent="0.35">
      <c r="A1283" s="2">
        <v>43962</v>
      </c>
      <c r="B1283" t="s">
        <v>5</v>
      </c>
      <c r="C1283" t="s">
        <v>10</v>
      </c>
      <c r="D1283" t="s">
        <v>17</v>
      </c>
      <c r="E1283" s="7">
        <v>8149.0184999999992</v>
      </c>
      <c r="F1283" s="7">
        <v>5820.7275</v>
      </c>
      <c r="G1283" s="8">
        <f>Tabla1[[#This Row],[Ingresos]]-Tabla1[[#This Row],[Gastos]]</f>
        <v>2328.2909999999993</v>
      </c>
      <c r="H1283" s="13">
        <f>Tabla1[[#This Row],[Beneficio]]/Tabla1[[#This Row],[Ingresos]]</f>
        <v>0.28571428571428564</v>
      </c>
    </row>
    <row r="1284" spans="1:8" x14ac:dyDescent="0.35">
      <c r="A1284" s="2">
        <v>43964</v>
      </c>
      <c r="B1284" t="s">
        <v>8</v>
      </c>
      <c r="C1284" t="s">
        <v>43</v>
      </c>
      <c r="D1284" t="s">
        <v>16</v>
      </c>
      <c r="E1284" s="7">
        <v>282331.62764423073</v>
      </c>
      <c r="F1284" s="7">
        <v>242164.86</v>
      </c>
      <c r="G1284" s="8">
        <f>Tabla1[[#This Row],[Ingresos]]-Tabla1[[#This Row],[Gastos]]</f>
        <v>40166.767644230742</v>
      </c>
      <c r="H1284" s="13">
        <f>Tabla1[[#This Row],[Beneficio]]/Tabla1[[#This Row],[Ingresos]]</f>
        <v>0.14226804123711331</v>
      </c>
    </row>
    <row r="1285" spans="1:8" x14ac:dyDescent="0.35">
      <c r="A1285" s="2">
        <v>43964</v>
      </c>
      <c r="B1285" t="s">
        <v>8</v>
      </c>
      <c r="C1285" t="s">
        <v>10</v>
      </c>
      <c r="D1285" t="s">
        <v>19</v>
      </c>
      <c r="E1285" s="7">
        <v>206144.4</v>
      </c>
      <c r="F1285" s="7">
        <v>186725</v>
      </c>
      <c r="G1285" s="8">
        <f>Tabla1[[#This Row],[Ingresos]]-Tabla1[[#This Row],[Gastos]]</f>
        <v>19419.399999999994</v>
      </c>
      <c r="H1285" s="13">
        <f>Tabla1[[#This Row],[Beneficio]]/Tabla1[[#This Row],[Ingresos]]</f>
        <v>9.4202898550724612E-2</v>
      </c>
    </row>
    <row r="1286" spans="1:8" x14ac:dyDescent="0.35">
      <c r="A1286" s="2">
        <v>43964</v>
      </c>
      <c r="B1286" t="s">
        <v>8</v>
      </c>
      <c r="C1286" t="s">
        <v>11</v>
      </c>
      <c r="D1286" t="s">
        <v>18</v>
      </c>
      <c r="E1286" s="7">
        <v>13307.489999999998</v>
      </c>
      <c r="F1286" s="7">
        <v>11089.574999999999</v>
      </c>
      <c r="G1286" s="8">
        <f>Tabla1[[#This Row],[Ingresos]]-Tabla1[[#This Row],[Gastos]]</f>
        <v>2217.9149999999991</v>
      </c>
      <c r="H1286" s="13">
        <f>Tabla1[[#This Row],[Beneficio]]/Tabla1[[#This Row],[Ingresos]]</f>
        <v>0.16666666666666663</v>
      </c>
    </row>
    <row r="1287" spans="1:8" x14ac:dyDescent="0.35">
      <c r="A1287" s="2">
        <v>43965</v>
      </c>
      <c r="B1287" t="s">
        <v>7</v>
      </c>
      <c r="C1287" t="s">
        <v>12</v>
      </c>
      <c r="D1287" t="s">
        <v>16</v>
      </c>
      <c r="E1287" s="7">
        <v>210455.27091346154</v>
      </c>
      <c r="F1287" s="7">
        <v>176867.46</v>
      </c>
      <c r="G1287" s="8">
        <f>Tabla1[[#This Row],[Ingresos]]-Tabla1[[#This Row],[Gastos]]</f>
        <v>33587.810913461552</v>
      </c>
      <c r="H1287" s="13">
        <f>Tabla1[[#This Row],[Beneficio]]/Tabla1[[#This Row],[Ingresos]]</f>
        <v>0.15959595959595965</v>
      </c>
    </row>
    <row r="1288" spans="1:8" x14ac:dyDescent="0.35">
      <c r="A1288" s="2">
        <v>43965</v>
      </c>
      <c r="B1288" t="s">
        <v>7</v>
      </c>
      <c r="C1288" t="s">
        <v>10</v>
      </c>
      <c r="D1288" t="s">
        <v>17</v>
      </c>
      <c r="E1288" s="7">
        <v>468817.03049999994</v>
      </c>
      <c r="F1288" s="7">
        <v>382707.77999999997</v>
      </c>
      <c r="G1288" s="8">
        <f>Tabla1[[#This Row],[Ingresos]]-Tabla1[[#This Row],[Gastos]]</f>
        <v>86109.250499999966</v>
      </c>
      <c r="H1288" s="13">
        <f>Tabla1[[#This Row],[Beneficio]]/Tabla1[[#This Row],[Ingresos]]</f>
        <v>0.18367346938775506</v>
      </c>
    </row>
    <row r="1289" spans="1:8" x14ac:dyDescent="0.35">
      <c r="A1289" s="2">
        <v>43965</v>
      </c>
      <c r="B1289" t="s">
        <v>8</v>
      </c>
      <c r="C1289" t="s">
        <v>12</v>
      </c>
      <c r="D1289" t="s">
        <v>17</v>
      </c>
      <c r="E1289" s="7">
        <v>813.04965000000004</v>
      </c>
      <c r="F1289" s="7">
        <v>683.23500000000001</v>
      </c>
      <c r="G1289" s="8">
        <f>Tabla1[[#This Row],[Ingresos]]-Tabla1[[#This Row],[Gastos]]</f>
        <v>129.81465000000003</v>
      </c>
      <c r="H1289" s="13">
        <f>Tabla1[[#This Row],[Beneficio]]/Tabla1[[#This Row],[Ingresos]]</f>
        <v>0.1596638655462185</v>
      </c>
    </row>
    <row r="1290" spans="1:8" x14ac:dyDescent="0.35">
      <c r="A1290" s="2">
        <v>43965</v>
      </c>
      <c r="B1290" t="s">
        <v>8</v>
      </c>
      <c r="C1290" t="s">
        <v>10</v>
      </c>
      <c r="D1290" t="s">
        <v>19</v>
      </c>
      <c r="E1290" s="7">
        <v>127652.7</v>
      </c>
      <c r="F1290" s="7">
        <v>119524.99999999999</v>
      </c>
      <c r="G1290" s="8">
        <f>Tabla1[[#This Row],[Ingresos]]-Tabla1[[#This Row],[Gastos]]</f>
        <v>8127.7000000000116</v>
      </c>
      <c r="H1290" s="13">
        <f>Tabla1[[#This Row],[Beneficio]]/Tabla1[[#This Row],[Ingresos]]</f>
        <v>6.3670411985018813E-2</v>
      </c>
    </row>
    <row r="1291" spans="1:8" x14ac:dyDescent="0.35">
      <c r="A1291" s="2">
        <v>43967</v>
      </c>
      <c r="B1291" t="s">
        <v>7</v>
      </c>
      <c r="C1291" t="s">
        <v>10</v>
      </c>
      <c r="D1291" t="s">
        <v>17</v>
      </c>
      <c r="E1291" s="7">
        <v>3964.5899999999997</v>
      </c>
      <c r="F1291" s="7">
        <v>2131.5</v>
      </c>
      <c r="G1291" s="8">
        <f>Tabla1[[#This Row],[Ingresos]]-Tabla1[[#This Row],[Gastos]]</f>
        <v>1833.0899999999997</v>
      </c>
      <c r="H1291" s="13">
        <f>Tabla1[[#This Row],[Beneficio]]/Tabla1[[#This Row],[Ingresos]]</f>
        <v>0.46236559139784944</v>
      </c>
    </row>
    <row r="1292" spans="1:8" x14ac:dyDescent="0.35">
      <c r="A1292" s="2">
        <v>43967</v>
      </c>
      <c r="B1292" t="s">
        <v>5</v>
      </c>
      <c r="C1292" t="s">
        <v>43</v>
      </c>
      <c r="D1292" t="s">
        <v>17</v>
      </c>
      <c r="E1292" s="7">
        <v>18771.486999999997</v>
      </c>
      <c r="F1292" s="7">
        <v>9879.73</v>
      </c>
      <c r="G1292" s="8">
        <f>Tabla1[[#This Row],[Ingresos]]-Tabla1[[#This Row],[Gastos]]</f>
        <v>8891.7569999999978</v>
      </c>
      <c r="H1292" s="13">
        <f>Tabla1[[#This Row],[Beneficio]]/Tabla1[[#This Row],[Ingresos]]</f>
        <v>0.47368421052631576</v>
      </c>
    </row>
    <row r="1293" spans="1:8" x14ac:dyDescent="0.35">
      <c r="A1293" s="2">
        <v>43967</v>
      </c>
      <c r="B1293" t="s">
        <v>8</v>
      </c>
      <c r="C1293" t="s">
        <v>10</v>
      </c>
      <c r="D1293" t="s">
        <v>19</v>
      </c>
      <c r="E1293" s="7">
        <v>1188898.074</v>
      </c>
      <c r="F1293" s="7">
        <v>1088734.5</v>
      </c>
      <c r="G1293" s="8">
        <f>Tabla1[[#This Row],[Ingresos]]-Tabla1[[#This Row],[Gastos]]</f>
        <v>100163.57400000002</v>
      </c>
      <c r="H1293" s="13">
        <f>Tabla1[[#This Row],[Beneficio]]/Tabla1[[#This Row],[Ingresos]]</f>
        <v>8.4249084249084269E-2</v>
      </c>
    </row>
    <row r="1294" spans="1:8" x14ac:dyDescent="0.35">
      <c r="A1294" s="2">
        <v>43968</v>
      </c>
      <c r="B1294" t="s">
        <v>6</v>
      </c>
      <c r="C1294" t="s">
        <v>43</v>
      </c>
      <c r="D1294" t="s">
        <v>15</v>
      </c>
      <c r="E1294" s="7">
        <v>3406.4414999999999</v>
      </c>
      <c r="F1294" s="7">
        <v>2610.2999999999997</v>
      </c>
      <c r="G1294" s="8">
        <f>Tabla1[[#This Row],[Ingresos]]-Tabla1[[#This Row],[Gastos]]</f>
        <v>796.14150000000018</v>
      </c>
      <c r="H1294" s="13">
        <f>Tabla1[[#This Row],[Beneficio]]/Tabla1[[#This Row],[Ingresos]]</f>
        <v>0.2337164750957855</v>
      </c>
    </row>
    <row r="1295" spans="1:8" x14ac:dyDescent="0.35">
      <c r="A1295" s="2">
        <v>43968</v>
      </c>
      <c r="B1295" t="s">
        <v>8</v>
      </c>
      <c r="C1295" t="s">
        <v>10</v>
      </c>
      <c r="D1295" t="s">
        <v>17</v>
      </c>
      <c r="E1295" s="7">
        <v>234667.12499999997</v>
      </c>
      <c r="F1295" s="7">
        <v>202702.5</v>
      </c>
      <c r="G1295" s="8">
        <f>Tabla1[[#This Row],[Ingresos]]-Tabla1[[#This Row],[Gastos]]</f>
        <v>31964.624999999971</v>
      </c>
      <c r="H1295" s="13">
        <f>Tabla1[[#This Row],[Beneficio]]/Tabla1[[#This Row],[Ingresos]]</f>
        <v>0.1362126245847175</v>
      </c>
    </row>
    <row r="1296" spans="1:8" x14ac:dyDescent="0.35">
      <c r="A1296" s="2">
        <v>43968</v>
      </c>
      <c r="B1296" t="s">
        <v>6</v>
      </c>
      <c r="C1296" t="s">
        <v>13</v>
      </c>
      <c r="D1296" t="s">
        <v>19</v>
      </c>
      <c r="E1296" s="7">
        <v>262687.95</v>
      </c>
      <c r="F1296" s="7">
        <v>245962.49999999997</v>
      </c>
      <c r="G1296" s="8">
        <f>Tabla1[[#This Row],[Ingresos]]-Tabla1[[#This Row],[Gastos]]</f>
        <v>16725.450000000041</v>
      </c>
      <c r="H1296" s="13">
        <f>Tabla1[[#This Row],[Beneficio]]/Tabla1[[#This Row],[Ingresos]]</f>
        <v>6.3670411985018882E-2</v>
      </c>
    </row>
    <row r="1297" spans="1:8" x14ac:dyDescent="0.35">
      <c r="A1297" s="2">
        <v>43970</v>
      </c>
      <c r="B1297" t="s">
        <v>5</v>
      </c>
      <c r="C1297" t="s">
        <v>12</v>
      </c>
      <c r="D1297" t="s">
        <v>17</v>
      </c>
      <c r="E1297" s="7">
        <v>200621.92499999999</v>
      </c>
      <c r="F1297" s="7">
        <v>160251</v>
      </c>
      <c r="G1297" s="8">
        <f>Tabla1[[#This Row],[Ingresos]]-Tabla1[[#This Row],[Gastos]]</f>
        <v>40370.924999999988</v>
      </c>
      <c r="H1297" s="13">
        <f>Tabla1[[#This Row],[Beneficio]]/Tabla1[[#This Row],[Ingresos]]</f>
        <v>0.20122887864823344</v>
      </c>
    </row>
    <row r="1298" spans="1:8" x14ac:dyDescent="0.35">
      <c r="A1298" s="2">
        <v>43970</v>
      </c>
      <c r="B1298" t="s">
        <v>7</v>
      </c>
      <c r="C1298" t="s">
        <v>13</v>
      </c>
      <c r="D1298" t="s">
        <v>18</v>
      </c>
      <c r="E1298" s="7">
        <v>1402.674</v>
      </c>
      <c r="F1298" s="7">
        <v>1156.05</v>
      </c>
      <c r="G1298" s="8">
        <f>Tabla1[[#This Row],[Ingresos]]-Tabla1[[#This Row],[Gastos]]</f>
        <v>246.62400000000002</v>
      </c>
      <c r="H1298" s="13">
        <f>Tabla1[[#This Row],[Beneficio]]/Tabla1[[#This Row],[Ingresos]]</f>
        <v>0.17582417582417584</v>
      </c>
    </row>
    <row r="1299" spans="1:8" x14ac:dyDescent="0.35">
      <c r="A1299" s="2">
        <v>43971</v>
      </c>
      <c r="B1299" t="s">
        <v>9</v>
      </c>
      <c r="C1299" t="s">
        <v>12</v>
      </c>
      <c r="D1299" t="s">
        <v>15</v>
      </c>
      <c r="E1299" s="7">
        <v>42599.235000000001</v>
      </c>
      <c r="F1299" s="7">
        <v>29894.199999999997</v>
      </c>
      <c r="G1299" s="8">
        <f>Tabla1[[#This Row],[Ingresos]]-Tabla1[[#This Row],[Gastos]]</f>
        <v>12705.035000000003</v>
      </c>
      <c r="H1299" s="13">
        <f>Tabla1[[#This Row],[Beneficio]]/Tabla1[[#This Row],[Ingresos]]</f>
        <v>0.29824561403508781</v>
      </c>
    </row>
    <row r="1300" spans="1:8" x14ac:dyDescent="0.35">
      <c r="A1300" s="2">
        <v>43971</v>
      </c>
      <c r="B1300" t="s">
        <v>9</v>
      </c>
      <c r="C1300" t="s">
        <v>11</v>
      </c>
      <c r="D1300" t="s">
        <v>15</v>
      </c>
      <c r="E1300" s="7">
        <v>36655.888500000001</v>
      </c>
      <c r="F1300" s="7">
        <v>27152.510000000002</v>
      </c>
      <c r="G1300" s="8">
        <f>Tabla1[[#This Row],[Ingresos]]-Tabla1[[#This Row],[Gastos]]</f>
        <v>9503.3784999999989</v>
      </c>
      <c r="H1300" s="13">
        <f>Tabla1[[#This Row],[Beneficio]]/Tabla1[[#This Row],[Ingresos]]</f>
        <v>0.25925925925925924</v>
      </c>
    </row>
    <row r="1301" spans="1:8" x14ac:dyDescent="0.35">
      <c r="A1301" s="2">
        <v>43974</v>
      </c>
      <c r="B1301" t="s">
        <v>9</v>
      </c>
      <c r="C1301" t="s">
        <v>13</v>
      </c>
      <c r="D1301" t="s">
        <v>17</v>
      </c>
      <c r="E1301" s="7">
        <v>3231.1089999999999</v>
      </c>
      <c r="F1301" s="7">
        <v>2455.25</v>
      </c>
      <c r="G1301" s="8">
        <f>Tabla1[[#This Row],[Ingresos]]-Tabla1[[#This Row],[Gastos]]</f>
        <v>775.85899999999992</v>
      </c>
      <c r="H1301" s="13">
        <f>Tabla1[[#This Row],[Beneficio]]/Tabla1[[#This Row],[Ingresos]]</f>
        <v>0.24012158054711244</v>
      </c>
    </row>
    <row r="1302" spans="1:8" x14ac:dyDescent="0.35">
      <c r="A1302" s="2">
        <v>43975</v>
      </c>
      <c r="B1302" t="s">
        <v>8</v>
      </c>
      <c r="C1302" t="s">
        <v>12</v>
      </c>
      <c r="D1302" t="s">
        <v>17</v>
      </c>
      <c r="E1302" s="7">
        <v>17781.12</v>
      </c>
      <c r="F1302" s="7">
        <v>9261</v>
      </c>
      <c r="G1302" s="8">
        <f>Tabla1[[#This Row],[Ingresos]]-Tabla1[[#This Row],[Gastos]]</f>
        <v>8520.119999999999</v>
      </c>
      <c r="H1302" s="13">
        <f>Tabla1[[#This Row],[Beneficio]]/Tabla1[[#This Row],[Ingresos]]</f>
        <v>0.47916666666666663</v>
      </c>
    </row>
    <row r="1303" spans="1:8" x14ac:dyDescent="0.35">
      <c r="A1303" s="2">
        <v>43976</v>
      </c>
      <c r="B1303" t="s">
        <v>9</v>
      </c>
      <c r="C1303" t="s">
        <v>12</v>
      </c>
      <c r="D1303" t="s">
        <v>17</v>
      </c>
      <c r="E1303" s="7">
        <v>13667.471999999998</v>
      </c>
      <c r="F1303" s="7">
        <v>7509.5999999999995</v>
      </c>
      <c r="G1303" s="8">
        <f>Tabla1[[#This Row],[Ingresos]]-Tabla1[[#This Row],[Gastos]]</f>
        <v>6157.8719999999985</v>
      </c>
      <c r="H1303" s="13">
        <f>Tabla1[[#This Row],[Beneficio]]/Tabla1[[#This Row],[Ingresos]]</f>
        <v>0.4505494505494505</v>
      </c>
    </row>
    <row r="1304" spans="1:8" x14ac:dyDescent="0.35">
      <c r="A1304" s="2">
        <v>43977</v>
      </c>
      <c r="B1304" t="s">
        <v>7</v>
      </c>
      <c r="C1304" t="s">
        <v>12</v>
      </c>
      <c r="D1304" t="s">
        <v>17</v>
      </c>
      <c r="E1304" s="7">
        <v>15652.559999999998</v>
      </c>
      <c r="F1304" s="7">
        <v>12705</v>
      </c>
      <c r="G1304" s="8">
        <f>Tabla1[[#This Row],[Ingresos]]-Tabla1[[#This Row],[Gastos]]</f>
        <v>2947.5599999999977</v>
      </c>
      <c r="H1304" s="13">
        <f>Tabla1[[#This Row],[Beneficio]]/Tabla1[[#This Row],[Ingresos]]</f>
        <v>0.18831168831168818</v>
      </c>
    </row>
    <row r="1305" spans="1:8" x14ac:dyDescent="0.35">
      <c r="A1305" s="2">
        <v>43979</v>
      </c>
      <c r="B1305" t="s">
        <v>6</v>
      </c>
      <c r="C1305" t="s">
        <v>43</v>
      </c>
      <c r="D1305" t="s">
        <v>15</v>
      </c>
      <c r="E1305" s="7">
        <v>4835.25</v>
      </c>
      <c r="F1305" s="7">
        <v>3223.5</v>
      </c>
      <c r="G1305" s="8">
        <f>Tabla1[[#This Row],[Ingresos]]-Tabla1[[#This Row],[Gastos]]</f>
        <v>1611.75</v>
      </c>
      <c r="H1305" s="13">
        <f>Tabla1[[#This Row],[Beneficio]]/Tabla1[[#This Row],[Ingresos]]</f>
        <v>0.33333333333333331</v>
      </c>
    </row>
    <row r="1306" spans="1:8" x14ac:dyDescent="0.35">
      <c r="A1306" s="2">
        <v>43979</v>
      </c>
      <c r="B1306" t="s">
        <v>7</v>
      </c>
      <c r="C1306" t="s">
        <v>11</v>
      </c>
      <c r="D1306" t="s">
        <v>16</v>
      </c>
      <c r="E1306" s="7">
        <v>258798.09374999997</v>
      </c>
      <c r="F1306" s="7">
        <v>236615.4</v>
      </c>
      <c r="G1306" s="8">
        <f>Tabla1[[#This Row],[Ingresos]]-Tabla1[[#This Row],[Gastos]]</f>
        <v>22182.693749999977</v>
      </c>
      <c r="H1306" s="13">
        <f>Tabla1[[#This Row],[Beneficio]]/Tabla1[[#This Row],[Ingresos]]</f>
        <v>8.5714285714285632E-2</v>
      </c>
    </row>
    <row r="1307" spans="1:8" x14ac:dyDescent="0.35">
      <c r="A1307" s="2">
        <v>43979</v>
      </c>
      <c r="B1307" t="s">
        <v>8</v>
      </c>
      <c r="C1307" t="s">
        <v>10</v>
      </c>
      <c r="D1307" t="s">
        <v>17</v>
      </c>
      <c r="E1307" s="7">
        <v>1280510.9239999999</v>
      </c>
      <c r="F1307" s="7">
        <v>970649.68</v>
      </c>
      <c r="G1307" s="8">
        <f>Tabla1[[#This Row],[Ingresos]]-Tabla1[[#This Row],[Gastos]]</f>
        <v>309861.24399999983</v>
      </c>
      <c r="H1307" s="13">
        <f>Tabla1[[#This Row],[Beneficio]]/Tabla1[[#This Row],[Ingresos]]</f>
        <v>0.24198250728862963</v>
      </c>
    </row>
    <row r="1308" spans="1:8" x14ac:dyDescent="0.35">
      <c r="A1308" s="2">
        <v>43979</v>
      </c>
      <c r="B1308" t="s">
        <v>9</v>
      </c>
      <c r="C1308" t="s">
        <v>10</v>
      </c>
      <c r="D1308" t="s">
        <v>18</v>
      </c>
      <c r="E1308" s="7">
        <v>30982.487759999996</v>
      </c>
      <c r="F1308" s="7">
        <v>26108.838</v>
      </c>
      <c r="G1308" s="8">
        <f>Tabla1[[#This Row],[Ingresos]]-Tabla1[[#This Row],[Gastos]]</f>
        <v>4873.6497599999966</v>
      </c>
      <c r="H1308" s="13">
        <f>Tabla1[[#This Row],[Beneficio]]/Tabla1[[#This Row],[Ingresos]]</f>
        <v>0.15730337078651677</v>
      </c>
    </row>
    <row r="1309" spans="1:8" x14ac:dyDescent="0.35">
      <c r="A1309" s="2">
        <v>43980</v>
      </c>
      <c r="B1309" t="s">
        <v>7</v>
      </c>
      <c r="C1309" t="s">
        <v>10</v>
      </c>
      <c r="D1309" t="s">
        <v>15</v>
      </c>
      <c r="E1309" s="7">
        <v>37996.256025000002</v>
      </c>
      <c r="F1309" s="7">
        <v>28461.615000000002</v>
      </c>
      <c r="G1309" s="8">
        <f>Tabla1[[#This Row],[Ingresos]]-Tabla1[[#This Row],[Gastos]]</f>
        <v>9534.6410250000008</v>
      </c>
      <c r="H1309" s="13">
        <f>Tabla1[[#This Row],[Beneficio]]/Tabla1[[#This Row],[Ingresos]]</f>
        <v>0.25093632958801498</v>
      </c>
    </row>
    <row r="1310" spans="1:8" x14ac:dyDescent="0.35">
      <c r="A1310" s="2">
        <v>43980</v>
      </c>
      <c r="B1310" t="s">
        <v>9</v>
      </c>
      <c r="C1310" t="s">
        <v>10</v>
      </c>
      <c r="D1310" t="s">
        <v>17</v>
      </c>
      <c r="E1310" s="7">
        <v>2536.4850000000001</v>
      </c>
      <c r="F1310" s="7">
        <v>2082.5</v>
      </c>
      <c r="G1310" s="8">
        <f>Tabla1[[#This Row],[Ingresos]]-Tabla1[[#This Row],[Gastos]]</f>
        <v>453.98500000000013</v>
      </c>
      <c r="H1310" s="13">
        <f>Tabla1[[#This Row],[Beneficio]]/Tabla1[[#This Row],[Ingresos]]</f>
        <v>0.17898193760262729</v>
      </c>
    </row>
    <row r="1311" spans="1:8" x14ac:dyDescent="0.35">
      <c r="A1311" s="2">
        <v>43981</v>
      </c>
      <c r="B1311" t="s">
        <v>6</v>
      </c>
      <c r="C1311" t="s">
        <v>11</v>
      </c>
      <c r="D1311" t="s">
        <v>15</v>
      </c>
      <c r="E1311" s="7">
        <v>9904.9124999999985</v>
      </c>
      <c r="F1311" s="7">
        <v>6807.5</v>
      </c>
      <c r="G1311" s="8">
        <f>Tabla1[[#This Row],[Ingresos]]-Tabla1[[#This Row],[Gastos]]</f>
        <v>3097.4124999999985</v>
      </c>
      <c r="H1311" s="13">
        <f>Tabla1[[#This Row],[Beneficio]]/Tabla1[[#This Row],[Ingresos]]</f>
        <v>0.31271477663230229</v>
      </c>
    </row>
    <row r="1312" spans="1:8" x14ac:dyDescent="0.35">
      <c r="A1312" s="2">
        <v>43981</v>
      </c>
      <c r="B1312" t="s">
        <v>6</v>
      </c>
      <c r="C1312" t="s">
        <v>10</v>
      </c>
      <c r="D1312" t="s">
        <v>16</v>
      </c>
      <c r="E1312" s="7">
        <v>364219.51730769232</v>
      </c>
      <c r="F1312" s="7">
        <v>312402.72000000003</v>
      </c>
      <c r="G1312" s="8">
        <f>Tabla1[[#This Row],[Ingresos]]-Tabla1[[#This Row],[Gastos]]</f>
        <v>51816.797307692294</v>
      </c>
      <c r="H1312" s="13">
        <f>Tabla1[[#This Row],[Beneficio]]/Tabla1[[#This Row],[Ingresos]]</f>
        <v>0.14226804123711337</v>
      </c>
    </row>
    <row r="1313" spans="1:8" x14ac:dyDescent="0.35">
      <c r="A1313" s="2">
        <v>43981</v>
      </c>
      <c r="B1313" t="s">
        <v>5</v>
      </c>
      <c r="C1313" t="s">
        <v>43</v>
      </c>
      <c r="D1313" t="s">
        <v>17</v>
      </c>
      <c r="E1313" s="7">
        <v>1588.6499999999999</v>
      </c>
      <c r="F1313" s="7">
        <v>934.49999999999989</v>
      </c>
      <c r="G1313" s="8">
        <f>Tabla1[[#This Row],[Ingresos]]-Tabla1[[#This Row],[Gastos]]</f>
        <v>654.15</v>
      </c>
      <c r="H1313" s="13">
        <f>Tabla1[[#This Row],[Beneficio]]/Tabla1[[#This Row],[Ingresos]]</f>
        <v>0.41176470588235298</v>
      </c>
    </row>
    <row r="1314" spans="1:8" x14ac:dyDescent="0.35">
      <c r="A1314" s="2">
        <v>43981</v>
      </c>
      <c r="B1314" t="s">
        <v>5</v>
      </c>
      <c r="C1314" t="s">
        <v>10</v>
      </c>
      <c r="D1314" t="s">
        <v>19</v>
      </c>
      <c r="E1314" s="7">
        <v>229452.3</v>
      </c>
      <c r="F1314" s="7">
        <v>222337.5</v>
      </c>
      <c r="G1314" s="8">
        <f>Tabla1[[#This Row],[Ingresos]]-Tabla1[[#This Row],[Gastos]]</f>
        <v>7114.7999999999884</v>
      </c>
      <c r="H1314" s="13">
        <f>Tabla1[[#This Row],[Beneficio]]/Tabla1[[#This Row],[Ingresos]]</f>
        <v>3.1007751937984447E-2</v>
      </c>
    </row>
    <row r="1315" spans="1:8" x14ac:dyDescent="0.35">
      <c r="A1315" s="2">
        <v>43982</v>
      </c>
      <c r="B1315" t="s">
        <v>7</v>
      </c>
      <c r="C1315" t="s">
        <v>43</v>
      </c>
      <c r="D1315" t="s">
        <v>15</v>
      </c>
      <c r="E1315" s="7">
        <v>11550.419999999998</v>
      </c>
      <c r="F1315" s="7">
        <v>7700.2799999999988</v>
      </c>
      <c r="G1315" s="8">
        <f>Tabla1[[#This Row],[Ingresos]]-Tabla1[[#This Row],[Gastos]]</f>
        <v>3850.1399999999994</v>
      </c>
      <c r="H1315" s="13">
        <f>Tabla1[[#This Row],[Beneficio]]/Tabla1[[#This Row],[Ingresos]]</f>
        <v>0.33333333333333331</v>
      </c>
    </row>
    <row r="1316" spans="1:8" x14ac:dyDescent="0.35">
      <c r="A1316" s="2">
        <v>43983</v>
      </c>
      <c r="B1316" t="s">
        <v>7</v>
      </c>
      <c r="C1316" t="s">
        <v>12</v>
      </c>
      <c r="D1316" t="s">
        <v>19</v>
      </c>
      <c r="E1316" s="7">
        <v>82675.592999999993</v>
      </c>
      <c r="F1316" s="7">
        <v>69592.25</v>
      </c>
      <c r="G1316" s="8">
        <f>Tabla1[[#This Row],[Ingresos]]-Tabla1[[#This Row],[Gastos]]</f>
        <v>13083.342999999993</v>
      </c>
      <c r="H1316" s="13">
        <f>Tabla1[[#This Row],[Beneficio]]/Tabla1[[#This Row],[Ingresos]]</f>
        <v>0.15824915824915819</v>
      </c>
    </row>
    <row r="1317" spans="1:8" x14ac:dyDescent="0.35">
      <c r="A1317" s="2">
        <v>43984</v>
      </c>
      <c r="B1317" t="s">
        <v>9</v>
      </c>
      <c r="C1317" t="s">
        <v>12</v>
      </c>
      <c r="D1317" t="s">
        <v>15</v>
      </c>
      <c r="E1317" s="7">
        <v>13067.25</v>
      </c>
      <c r="F1317" s="7">
        <v>9170</v>
      </c>
      <c r="G1317" s="8">
        <f>Tabla1[[#This Row],[Ingresos]]-Tabla1[[#This Row],[Gastos]]</f>
        <v>3897.25</v>
      </c>
      <c r="H1317" s="13">
        <f>Tabla1[[#This Row],[Beneficio]]/Tabla1[[#This Row],[Ingresos]]</f>
        <v>0.2982456140350877</v>
      </c>
    </row>
    <row r="1318" spans="1:8" x14ac:dyDescent="0.35">
      <c r="A1318" s="2">
        <v>43984</v>
      </c>
      <c r="B1318" t="s">
        <v>8</v>
      </c>
      <c r="C1318" t="s">
        <v>43</v>
      </c>
      <c r="D1318" t="s">
        <v>15</v>
      </c>
      <c r="E1318" s="7">
        <v>7869.6449999999995</v>
      </c>
      <c r="F1318" s="7">
        <v>6100.5</v>
      </c>
      <c r="G1318" s="8">
        <f>Tabla1[[#This Row],[Ingresos]]-Tabla1[[#This Row],[Gastos]]</f>
        <v>1769.1449999999995</v>
      </c>
      <c r="H1318" s="13">
        <f>Tabla1[[#This Row],[Beneficio]]/Tabla1[[#This Row],[Ingresos]]</f>
        <v>0.22480620155038755</v>
      </c>
    </row>
    <row r="1319" spans="1:8" x14ac:dyDescent="0.35">
      <c r="A1319" s="2">
        <v>43984</v>
      </c>
      <c r="B1319" t="s">
        <v>8</v>
      </c>
      <c r="C1319" t="s">
        <v>12</v>
      </c>
      <c r="D1319" t="s">
        <v>15</v>
      </c>
      <c r="E1319" s="7">
        <v>28378.105875000001</v>
      </c>
      <c r="F1319" s="7">
        <v>21745.674999999999</v>
      </c>
      <c r="G1319" s="8">
        <f>Tabla1[[#This Row],[Ingresos]]-Tabla1[[#This Row],[Gastos]]</f>
        <v>6632.4308750000018</v>
      </c>
      <c r="H1319" s="13">
        <f>Tabla1[[#This Row],[Beneficio]]/Tabla1[[#This Row],[Ingresos]]</f>
        <v>0.2337164750957855</v>
      </c>
    </row>
    <row r="1320" spans="1:8" x14ac:dyDescent="0.35">
      <c r="A1320" s="2">
        <v>43984</v>
      </c>
      <c r="B1320" t="s">
        <v>5</v>
      </c>
      <c r="C1320" t="s">
        <v>12</v>
      </c>
      <c r="D1320" t="s">
        <v>17</v>
      </c>
      <c r="E1320" s="7">
        <v>18832.8</v>
      </c>
      <c r="F1320" s="7">
        <v>9912</v>
      </c>
      <c r="G1320" s="8">
        <f>Tabla1[[#This Row],[Ingresos]]-Tabla1[[#This Row],[Gastos]]</f>
        <v>8920.7999999999993</v>
      </c>
      <c r="H1320" s="13">
        <f>Tabla1[[#This Row],[Beneficio]]/Tabla1[[#This Row],[Ingresos]]</f>
        <v>0.47368421052631576</v>
      </c>
    </row>
    <row r="1321" spans="1:8" x14ac:dyDescent="0.35">
      <c r="A1321" s="2">
        <v>43984</v>
      </c>
      <c r="B1321" t="s">
        <v>9</v>
      </c>
      <c r="C1321" t="s">
        <v>10</v>
      </c>
      <c r="D1321" t="s">
        <v>19</v>
      </c>
      <c r="E1321" s="7">
        <v>325851.21449999994</v>
      </c>
      <c r="F1321" s="7">
        <v>291981.375</v>
      </c>
      <c r="G1321" s="8">
        <f>Tabla1[[#This Row],[Ingresos]]-Tabla1[[#This Row],[Gastos]]</f>
        <v>33869.839499999944</v>
      </c>
      <c r="H1321" s="13">
        <f>Tabla1[[#This Row],[Beneficio]]/Tabla1[[#This Row],[Ingresos]]</f>
        <v>0.10394265232974895</v>
      </c>
    </row>
    <row r="1322" spans="1:8" x14ac:dyDescent="0.35">
      <c r="A1322" s="2">
        <v>43985</v>
      </c>
      <c r="B1322" t="s">
        <v>8</v>
      </c>
      <c r="C1322" t="s">
        <v>10</v>
      </c>
      <c r="D1322" t="s">
        <v>18</v>
      </c>
      <c r="E1322" s="7">
        <v>7240.5059999999994</v>
      </c>
      <c r="F1322" s="7">
        <v>6101.5499999999993</v>
      </c>
      <c r="G1322" s="8">
        <f>Tabla1[[#This Row],[Ingresos]]-Tabla1[[#This Row],[Gastos]]</f>
        <v>1138.9560000000001</v>
      </c>
      <c r="H1322" s="13">
        <f>Tabla1[[#This Row],[Beneficio]]/Tabla1[[#This Row],[Ingresos]]</f>
        <v>0.15730337078651688</v>
      </c>
    </row>
    <row r="1323" spans="1:8" x14ac:dyDescent="0.35">
      <c r="A1323" s="2">
        <v>43986</v>
      </c>
      <c r="B1323" t="s">
        <v>8</v>
      </c>
      <c r="C1323" t="s">
        <v>10</v>
      </c>
      <c r="D1323" t="s">
        <v>17</v>
      </c>
      <c r="E1323" s="7">
        <v>98368.724999999991</v>
      </c>
      <c r="F1323" s="7">
        <v>83993</v>
      </c>
      <c r="G1323" s="8">
        <f>Tabla1[[#This Row],[Ingresos]]-Tabla1[[#This Row],[Gastos]]</f>
        <v>14375.724999999991</v>
      </c>
      <c r="H1323" s="13">
        <f>Tabla1[[#This Row],[Beneficio]]/Tabla1[[#This Row],[Ingresos]]</f>
        <v>0.14614121510673228</v>
      </c>
    </row>
    <row r="1324" spans="1:8" x14ac:dyDescent="0.35">
      <c r="A1324" s="2">
        <v>43987</v>
      </c>
      <c r="B1324" t="s">
        <v>8</v>
      </c>
      <c r="C1324" t="s">
        <v>12</v>
      </c>
      <c r="D1324" t="s">
        <v>17</v>
      </c>
      <c r="E1324" s="7">
        <v>209092.8</v>
      </c>
      <c r="F1324" s="7">
        <v>161798</v>
      </c>
      <c r="G1324" s="8">
        <f>Tabla1[[#This Row],[Ingresos]]-Tabla1[[#This Row],[Gastos]]</f>
        <v>47294.799999999988</v>
      </c>
      <c r="H1324" s="13">
        <f>Tabla1[[#This Row],[Beneficio]]/Tabla1[[#This Row],[Ingresos]]</f>
        <v>0.22619047619047614</v>
      </c>
    </row>
    <row r="1325" spans="1:8" x14ac:dyDescent="0.35">
      <c r="A1325" s="2">
        <v>43987</v>
      </c>
      <c r="B1325" t="s">
        <v>7</v>
      </c>
      <c r="C1325" t="s">
        <v>12</v>
      </c>
      <c r="D1325" t="s">
        <v>17</v>
      </c>
      <c r="E1325" s="7">
        <v>105359.75099999999</v>
      </c>
      <c r="F1325" s="7">
        <v>80687.88</v>
      </c>
      <c r="G1325" s="8">
        <f>Tabla1[[#This Row],[Ingresos]]-Tabla1[[#This Row],[Gastos]]</f>
        <v>24671.870999999985</v>
      </c>
      <c r="H1325" s="13">
        <f>Tabla1[[#This Row],[Beneficio]]/Tabla1[[#This Row],[Ingresos]]</f>
        <v>0.23416789396170828</v>
      </c>
    </row>
    <row r="1326" spans="1:8" x14ac:dyDescent="0.35">
      <c r="A1326" s="2">
        <v>43989</v>
      </c>
      <c r="B1326" t="s">
        <v>5</v>
      </c>
      <c r="C1326" t="s">
        <v>43</v>
      </c>
      <c r="D1326" t="s">
        <v>16</v>
      </c>
      <c r="E1326" s="7">
        <v>128487.18749999999</v>
      </c>
      <c r="F1326" s="7">
        <v>117473.99999999999</v>
      </c>
      <c r="G1326" s="8">
        <f>Tabla1[[#This Row],[Ingresos]]-Tabla1[[#This Row],[Gastos]]</f>
        <v>11013.1875</v>
      </c>
      <c r="H1326" s="13">
        <f>Tabla1[[#This Row],[Beneficio]]/Tabla1[[#This Row],[Ingresos]]</f>
        <v>8.5714285714285729E-2</v>
      </c>
    </row>
    <row r="1327" spans="1:8" x14ac:dyDescent="0.35">
      <c r="A1327" s="2">
        <v>43989</v>
      </c>
      <c r="B1327" t="s">
        <v>9</v>
      </c>
      <c r="C1327" t="s">
        <v>11</v>
      </c>
      <c r="D1327" t="s">
        <v>19</v>
      </c>
      <c r="E1327" s="7">
        <v>120512.7</v>
      </c>
      <c r="F1327" s="7">
        <v>106837.5</v>
      </c>
      <c r="G1327" s="8">
        <f>Tabla1[[#This Row],[Ingresos]]-Tabla1[[#This Row],[Gastos]]</f>
        <v>13675.199999999997</v>
      </c>
      <c r="H1327" s="13">
        <f>Tabla1[[#This Row],[Beneficio]]/Tabla1[[#This Row],[Ingresos]]</f>
        <v>0.11347517730496452</v>
      </c>
    </row>
    <row r="1328" spans="1:8" x14ac:dyDescent="0.35">
      <c r="A1328" s="2">
        <v>43990</v>
      </c>
      <c r="B1328" t="s">
        <v>6</v>
      </c>
      <c r="C1328" t="s">
        <v>43</v>
      </c>
      <c r="D1328" t="s">
        <v>17</v>
      </c>
      <c r="E1328" s="7">
        <v>448999.005</v>
      </c>
      <c r="F1328" s="7">
        <v>340349.1</v>
      </c>
      <c r="G1328" s="8">
        <f>Tabla1[[#This Row],[Ingresos]]-Tabla1[[#This Row],[Gastos]]</f>
        <v>108649.90500000003</v>
      </c>
      <c r="H1328" s="13">
        <f>Tabla1[[#This Row],[Beneficio]]/Tabla1[[#This Row],[Ingresos]]</f>
        <v>0.2419825072886298</v>
      </c>
    </row>
    <row r="1329" spans="1:8" x14ac:dyDescent="0.35">
      <c r="A1329" s="2">
        <v>43990</v>
      </c>
      <c r="B1329" t="s">
        <v>7</v>
      </c>
      <c r="C1329" t="s">
        <v>11</v>
      </c>
      <c r="D1329" t="s">
        <v>17</v>
      </c>
      <c r="E1329" s="7">
        <v>21689.467799999999</v>
      </c>
      <c r="F1329" s="7">
        <v>11917.289999999999</v>
      </c>
      <c r="G1329" s="8">
        <f>Tabla1[[#This Row],[Ingresos]]-Tabla1[[#This Row],[Gastos]]</f>
        <v>9772.1777999999995</v>
      </c>
      <c r="H1329" s="13">
        <f>Tabla1[[#This Row],[Beneficio]]/Tabla1[[#This Row],[Ingresos]]</f>
        <v>0.45054945054945056</v>
      </c>
    </row>
    <row r="1330" spans="1:8" x14ac:dyDescent="0.35">
      <c r="A1330" s="2">
        <v>43991</v>
      </c>
      <c r="B1330" t="s">
        <v>6</v>
      </c>
      <c r="C1330" t="s">
        <v>12</v>
      </c>
      <c r="D1330" t="s">
        <v>17</v>
      </c>
      <c r="E1330" s="7">
        <v>9788.7999999999993</v>
      </c>
      <c r="F1330" s="7">
        <v>5320</v>
      </c>
      <c r="G1330" s="8">
        <f>Tabla1[[#This Row],[Ingresos]]-Tabla1[[#This Row],[Gastos]]</f>
        <v>4468.7999999999993</v>
      </c>
      <c r="H1330" s="13">
        <f>Tabla1[[#This Row],[Beneficio]]/Tabla1[[#This Row],[Ingresos]]</f>
        <v>0.45652173913043476</v>
      </c>
    </row>
    <row r="1331" spans="1:8" x14ac:dyDescent="0.35">
      <c r="A1331" s="2">
        <v>43993</v>
      </c>
      <c r="B1331" t="s">
        <v>6</v>
      </c>
      <c r="C1331" t="s">
        <v>10</v>
      </c>
      <c r="D1331" t="s">
        <v>17</v>
      </c>
      <c r="E1331" s="7">
        <v>2837.7860000000001</v>
      </c>
      <c r="F1331" s="7">
        <v>2203.25</v>
      </c>
      <c r="G1331" s="8">
        <f>Tabla1[[#This Row],[Ingresos]]-Tabla1[[#This Row],[Gastos]]</f>
        <v>634.53600000000006</v>
      </c>
      <c r="H1331" s="13">
        <f>Tabla1[[#This Row],[Beneficio]]/Tabla1[[#This Row],[Ingresos]]</f>
        <v>0.2236024844720497</v>
      </c>
    </row>
    <row r="1332" spans="1:8" x14ac:dyDescent="0.35">
      <c r="A1332" s="2">
        <v>43993</v>
      </c>
      <c r="B1332" t="s">
        <v>9</v>
      </c>
      <c r="C1332" t="s">
        <v>10</v>
      </c>
      <c r="D1332" t="s">
        <v>17</v>
      </c>
      <c r="E1332" s="7">
        <v>8034.0365700000002</v>
      </c>
      <c r="F1332" s="7">
        <v>6170.5350000000008</v>
      </c>
      <c r="G1332" s="8">
        <f>Tabla1[[#This Row],[Ingresos]]-Tabla1[[#This Row],[Gastos]]</f>
        <v>1863.5015699999994</v>
      </c>
      <c r="H1332" s="13">
        <f>Tabla1[[#This Row],[Beneficio]]/Tabla1[[#This Row],[Ingresos]]</f>
        <v>0.23195084485407058</v>
      </c>
    </row>
    <row r="1333" spans="1:8" x14ac:dyDescent="0.35">
      <c r="A1333" s="2">
        <v>43994</v>
      </c>
      <c r="B1333" t="s">
        <v>7</v>
      </c>
      <c r="C1333" t="s">
        <v>43</v>
      </c>
      <c r="D1333" t="s">
        <v>15</v>
      </c>
      <c r="E1333" s="7">
        <v>1170.4875</v>
      </c>
      <c r="F1333" s="7">
        <v>857.5</v>
      </c>
      <c r="G1333" s="8">
        <f>Tabla1[[#This Row],[Ingresos]]-Tabla1[[#This Row],[Gastos]]</f>
        <v>312.98749999999995</v>
      </c>
      <c r="H1333" s="13">
        <f>Tabla1[[#This Row],[Beneficio]]/Tabla1[[#This Row],[Ingresos]]</f>
        <v>0.26739926739926739</v>
      </c>
    </row>
    <row r="1334" spans="1:8" x14ac:dyDescent="0.35">
      <c r="A1334" s="2">
        <v>43994</v>
      </c>
      <c r="B1334" t="s">
        <v>7</v>
      </c>
      <c r="C1334" t="s">
        <v>43</v>
      </c>
      <c r="D1334" t="s">
        <v>18</v>
      </c>
      <c r="E1334" s="7">
        <v>4461.7439999999997</v>
      </c>
      <c r="F1334" s="7">
        <v>3414.6</v>
      </c>
      <c r="G1334" s="8">
        <f>Tabla1[[#This Row],[Ingresos]]-Tabla1[[#This Row],[Gastos]]</f>
        <v>1047.1439999999998</v>
      </c>
      <c r="H1334" s="13">
        <f>Tabla1[[#This Row],[Beneficio]]/Tabla1[[#This Row],[Ingresos]]</f>
        <v>0.23469387755102036</v>
      </c>
    </row>
    <row r="1335" spans="1:8" x14ac:dyDescent="0.35">
      <c r="A1335" s="2">
        <v>43995</v>
      </c>
      <c r="B1335" t="s">
        <v>5</v>
      </c>
      <c r="C1335" t="s">
        <v>12</v>
      </c>
      <c r="D1335" t="s">
        <v>15</v>
      </c>
      <c r="E1335" s="7">
        <v>55656.680624999994</v>
      </c>
      <c r="F1335" s="7">
        <v>40774.125</v>
      </c>
      <c r="G1335" s="8">
        <f>Tabla1[[#This Row],[Ingresos]]-Tabla1[[#This Row],[Gastos]]</f>
        <v>14882.555624999994</v>
      </c>
      <c r="H1335" s="13">
        <f>Tabla1[[#This Row],[Beneficio]]/Tabla1[[#This Row],[Ingresos]]</f>
        <v>0.26739926739926734</v>
      </c>
    </row>
    <row r="1336" spans="1:8" x14ac:dyDescent="0.35">
      <c r="A1336" s="2">
        <v>43995</v>
      </c>
      <c r="B1336" t="s">
        <v>7</v>
      </c>
      <c r="C1336" t="s">
        <v>43</v>
      </c>
      <c r="D1336" t="s">
        <v>19</v>
      </c>
      <c r="E1336" s="7">
        <v>268244.55</v>
      </c>
      <c r="F1336" s="7">
        <v>240362.49999999997</v>
      </c>
      <c r="G1336" s="8">
        <f>Tabla1[[#This Row],[Ingresos]]-Tabla1[[#This Row],[Gastos]]</f>
        <v>27882.050000000017</v>
      </c>
      <c r="H1336" s="13">
        <f>Tabla1[[#This Row],[Beneficio]]/Tabla1[[#This Row],[Ingresos]]</f>
        <v>0.10394265232974917</v>
      </c>
    </row>
    <row r="1337" spans="1:8" x14ac:dyDescent="0.35">
      <c r="A1337" s="2">
        <v>43995</v>
      </c>
      <c r="B1337" t="s">
        <v>9</v>
      </c>
      <c r="C1337" t="s">
        <v>10</v>
      </c>
      <c r="D1337" t="s">
        <v>18</v>
      </c>
      <c r="E1337" s="7">
        <v>8939.6999999999989</v>
      </c>
      <c r="F1337" s="7">
        <v>7796.2499999999991</v>
      </c>
      <c r="G1337" s="8">
        <f>Tabla1[[#This Row],[Ingresos]]-Tabla1[[#This Row],[Gastos]]</f>
        <v>1143.4499999999998</v>
      </c>
      <c r="H1337" s="13">
        <f>Tabla1[[#This Row],[Beneficio]]/Tabla1[[#This Row],[Ingresos]]</f>
        <v>0.12790697674418605</v>
      </c>
    </row>
    <row r="1338" spans="1:8" x14ac:dyDescent="0.35">
      <c r="A1338" s="2">
        <v>43996</v>
      </c>
      <c r="B1338" t="s">
        <v>7</v>
      </c>
      <c r="C1338" t="s">
        <v>13</v>
      </c>
      <c r="D1338" t="s">
        <v>17</v>
      </c>
      <c r="E1338" s="7">
        <v>112847</v>
      </c>
      <c r="F1338" s="7">
        <v>89180</v>
      </c>
      <c r="G1338" s="8">
        <f>Tabla1[[#This Row],[Ingresos]]-Tabla1[[#This Row],[Gastos]]</f>
        <v>23667</v>
      </c>
      <c r="H1338" s="13">
        <f>Tabla1[[#This Row],[Beneficio]]/Tabla1[[#This Row],[Ingresos]]</f>
        <v>0.20972644376899696</v>
      </c>
    </row>
    <row r="1339" spans="1:8" x14ac:dyDescent="0.35">
      <c r="A1339" s="2">
        <v>43997</v>
      </c>
      <c r="B1339" t="s">
        <v>8</v>
      </c>
      <c r="C1339" t="s">
        <v>43</v>
      </c>
      <c r="D1339" t="s">
        <v>17</v>
      </c>
      <c r="E1339" s="7">
        <v>14914.619999999997</v>
      </c>
      <c r="F1339" s="7">
        <v>8379</v>
      </c>
      <c r="G1339" s="8">
        <f>Tabla1[[#This Row],[Ingresos]]-Tabla1[[#This Row],[Gastos]]</f>
        <v>6535.6199999999972</v>
      </c>
      <c r="H1339" s="13">
        <f>Tabla1[[#This Row],[Beneficio]]/Tabla1[[#This Row],[Ingresos]]</f>
        <v>0.43820224719101114</v>
      </c>
    </row>
    <row r="1340" spans="1:8" x14ac:dyDescent="0.35">
      <c r="A1340" s="2">
        <v>43997</v>
      </c>
      <c r="B1340" t="s">
        <v>9</v>
      </c>
      <c r="C1340" t="s">
        <v>13</v>
      </c>
      <c r="D1340" t="s">
        <v>17</v>
      </c>
      <c r="E1340" s="7">
        <v>7376.753999999999</v>
      </c>
      <c r="F1340" s="7">
        <v>5987.625</v>
      </c>
      <c r="G1340" s="8">
        <f>Tabla1[[#This Row],[Ingresos]]-Tabla1[[#This Row],[Gastos]]</f>
        <v>1389.128999999999</v>
      </c>
      <c r="H1340" s="13">
        <f>Tabla1[[#This Row],[Beneficio]]/Tabla1[[#This Row],[Ingresos]]</f>
        <v>0.18831168831168821</v>
      </c>
    </row>
    <row r="1341" spans="1:8" x14ac:dyDescent="0.35">
      <c r="A1341" s="2">
        <v>43997</v>
      </c>
      <c r="B1341" t="s">
        <v>5</v>
      </c>
      <c r="C1341" t="s">
        <v>13</v>
      </c>
      <c r="D1341" t="s">
        <v>19</v>
      </c>
      <c r="E1341" s="7">
        <v>281817.89999999997</v>
      </c>
      <c r="F1341" s="7">
        <v>260942.49999999997</v>
      </c>
      <c r="G1341" s="8">
        <f>Tabla1[[#This Row],[Ingresos]]-Tabla1[[#This Row],[Gastos]]</f>
        <v>20875.399999999994</v>
      </c>
      <c r="H1341" s="13">
        <f>Tabla1[[#This Row],[Beneficio]]/Tabla1[[#This Row],[Ingresos]]</f>
        <v>7.4074074074074056E-2</v>
      </c>
    </row>
    <row r="1342" spans="1:8" x14ac:dyDescent="0.35">
      <c r="A1342" s="2">
        <v>43998</v>
      </c>
      <c r="B1342" t="s">
        <v>9</v>
      </c>
      <c r="C1342" t="s">
        <v>13</v>
      </c>
      <c r="D1342" t="s">
        <v>15</v>
      </c>
      <c r="E1342" s="7">
        <v>9790.1999999999989</v>
      </c>
      <c r="F1342" s="7">
        <v>7251.9999999999991</v>
      </c>
      <c r="G1342" s="8">
        <f>Tabla1[[#This Row],[Ingresos]]-Tabla1[[#This Row],[Gastos]]</f>
        <v>2538.1999999999998</v>
      </c>
      <c r="H1342" s="13">
        <f>Tabla1[[#This Row],[Beneficio]]/Tabla1[[#This Row],[Ingresos]]</f>
        <v>0.25925925925925924</v>
      </c>
    </row>
    <row r="1343" spans="1:8" x14ac:dyDescent="0.35">
      <c r="A1343" s="2">
        <v>43999</v>
      </c>
      <c r="B1343" t="s">
        <v>9</v>
      </c>
      <c r="C1343" t="s">
        <v>13</v>
      </c>
      <c r="D1343" t="s">
        <v>17</v>
      </c>
      <c r="E1343" s="7">
        <v>185717.34999999998</v>
      </c>
      <c r="F1343" s="7">
        <v>151606</v>
      </c>
      <c r="G1343" s="8">
        <f>Tabla1[[#This Row],[Ingresos]]-Tabla1[[#This Row],[Gastos]]</f>
        <v>34111.349999999977</v>
      </c>
      <c r="H1343" s="13">
        <f>Tabla1[[#This Row],[Beneficio]]/Tabla1[[#This Row],[Ingresos]]</f>
        <v>0.183673469387755</v>
      </c>
    </row>
    <row r="1344" spans="1:8" x14ac:dyDescent="0.35">
      <c r="A1344" s="2">
        <v>44000</v>
      </c>
      <c r="B1344" t="s">
        <v>7</v>
      </c>
      <c r="C1344" t="s">
        <v>13</v>
      </c>
      <c r="D1344" t="s">
        <v>18</v>
      </c>
      <c r="E1344" s="7">
        <v>2086.4339999999997</v>
      </c>
      <c r="F1344" s="7">
        <v>1798.6499999999999</v>
      </c>
      <c r="G1344" s="8">
        <f>Tabla1[[#This Row],[Ingresos]]-Tabla1[[#This Row],[Gastos]]</f>
        <v>287.78399999999988</v>
      </c>
      <c r="H1344" s="13">
        <f>Tabla1[[#This Row],[Beneficio]]/Tabla1[[#This Row],[Ingresos]]</f>
        <v>0.13793103448275859</v>
      </c>
    </row>
    <row r="1345" spans="1:8" x14ac:dyDescent="0.35">
      <c r="A1345" s="2">
        <v>44001</v>
      </c>
      <c r="B1345" t="s">
        <v>6</v>
      </c>
      <c r="C1345" t="s">
        <v>13</v>
      </c>
      <c r="D1345" t="s">
        <v>15</v>
      </c>
      <c r="E1345" s="7">
        <v>6831.1949999999997</v>
      </c>
      <c r="F1345" s="7">
        <v>5295.5</v>
      </c>
      <c r="G1345" s="8">
        <f>Tabla1[[#This Row],[Ingresos]]-Tabla1[[#This Row],[Gastos]]</f>
        <v>1535.6949999999997</v>
      </c>
      <c r="H1345" s="13">
        <f>Tabla1[[#This Row],[Beneficio]]/Tabla1[[#This Row],[Ingresos]]</f>
        <v>0.22480620155038755</v>
      </c>
    </row>
    <row r="1346" spans="1:8" x14ac:dyDescent="0.35">
      <c r="A1346" s="2">
        <v>44002</v>
      </c>
      <c r="B1346" t="s">
        <v>9</v>
      </c>
      <c r="C1346" t="s">
        <v>43</v>
      </c>
      <c r="D1346" t="s">
        <v>17</v>
      </c>
      <c r="E1346" s="7">
        <v>35346.326400000005</v>
      </c>
      <c r="F1346" s="7">
        <v>17851.68</v>
      </c>
      <c r="G1346" s="8">
        <f>Tabla1[[#This Row],[Ingresos]]-Tabla1[[#This Row],[Gastos]]</f>
        <v>17494.646400000005</v>
      </c>
      <c r="H1346" s="13">
        <f>Tabla1[[#This Row],[Beneficio]]/Tabla1[[#This Row],[Ingresos]]</f>
        <v>0.49494949494949503</v>
      </c>
    </row>
    <row r="1347" spans="1:8" x14ac:dyDescent="0.35">
      <c r="A1347" s="2">
        <v>44002</v>
      </c>
      <c r="B1347" t="s">
        <v>7</v>
      </c>
      <c r="C1347" t="s">
        <v>10</v>
      </c>
      <c r="D1347" t="s">
        <v>18</v>
      </c>
      <c r="E1347" s="7">
        <v>2839.6619999999998</v>
      </c>
      <c r="F1347" s="7">
        <v>2290.0499999999997</v>
      </c>
      <c r="G1347" s="8">
        <f>Tabla1[[#This Row],[Ingresos]]-Tabla1[[#This Row],[Gastos]]</f>
        <v>549.61200000000008</v>
      </c>
      <c r="H1347" s="13">
        <f>Tabla1[[#This Row],[Beneficio]]/Tabla1[[#This Row],[Ingresos]]</f>
        <v>0.19354838709677424</v>
      </c>
    </row>
    <row r="1348" spans="1:8" x14ac:dyDescent="0.35">
      <c r="A1348" s="2">
        <v>44003</v>
      </c>
      <c r="B1348" t="s">
        <v>6</v>
      </c>
      <c r="C1348" t="s">
        <v>12</v>
      </c>
      <c r="D1348" t="s">
        <v>17</v>
      </c>
      <c r="E1348" s="7">
        <v>241854.19999999998</v>
      </c>
      <c r="F1348" s="7">
        <v>195286</v>
      </c>
      <c r="G1348" s="8">
        <f>Tabla1[[#This Row],[Ingresos]]-Tabla1[[#This Row],[Gastos]]</f>
        <v>46568.199999999983</v>
      </c>
      <c r="H1348" s="13">
        <f>Tabla1[[#This Row],[Beneficio]]/Tabla1[[#This Row],[Ingresos]]</f>
        <v>0.19254658385093162</v>
      </c>
    </row>
    <row r="1349" spans="1:8" x14ac:dyDescent="0.35">
      <c r="A1349" s="2">
        <v>44003</v>
      </c>
      <c r="B1349" t="s">
        <v>7</v>
      </c>
      <c r="C1349" t="s">
        <v>11</v>
      </c>
      <c r="D1349" t="s">
        <v>17</v>
      </c>
      <c r="E1349" s="7">
        <v>10564.4</v>
      </c>
      <c r="F1349" s="7">
        <v>6002.5</v>
      </c>
      <c r="G1349" s="8">
        <f>Tabla1[[#This Row],[Ingresos]]-Tabla1[[#This Row],[Gastos]]</f>
        <v>4561.8999999999996</v>
      </c>
      <c r="H1349" s="13">
        <f>Tabla1[[#This Row],[Beneficio]]/Tabla1[[#This Row],[Ingresos]]</f>
        <v>0.43181818181818182</v>
      </c>
    </row>
    <row r="1350" spans="1:8" x14ac:dyDescent="0.35">
      <c r="A1350" s="2">
        <v>44004</v>
      </c>
      <c r="B1350" t="s">
        <v>8</v>
      </c>
      <c r="C1350" t="s">
        <v>10</v>
      </c>
      <c r="D1350" t="s">
        <v>17</v>
      </c>
      <c r="E1350" s="7">
        <v>271526.14999999997</v>
      </c>
      <c r="F1350" s="7">
        <v>212321.19999999998</v>
      </c>
      <c r="G1350" s="8">
        <f>Tabla1[[#This Row],[Ingresos]]-Tabla1[[#This Row],[Gastos]]</f>
        <v>59204.949999999983</v>
      </c>
      <c r="H1350" s="13">
        <f>Tabla1[[#This Row],[Beneficio]]/Tabla1[[#This Row],[Ingresos]]</f>
        <v>0.21804511278195485</v>
      </c>
    </row>
    <row r="1351" spans="1:8" x14ac:dyDescent="0.35">
      <c r="A1351" s="2">
        <v>44005</v>
      </c>
      <c r="B1351" t="s">
        <v>8</v>
      </c>
      <c r="C1351" t="s">
        <v>13</v>
      </c>
      <c r="D1351" t="s">
        <v>16</v>
      </c>
      <c r="E1351" s="7">
        <v>195763.04495192308</v>
      </c>
      <c r="F1351" s="7">
        <v>167912.22</v>
      </c>
      <c r="G1351" s="8">
        <f>Tabla1[[#This Row],[Ingresos]]-Tabla1[[#This Row],[Gastos]]</f>
        <v>27850.824951923074</v>
      </c>
      <c r="H1351" s="13">
        <f>Tabla1[[#This Row],[Beneficio]]/Tabla1[[#This Row],[Ingresos]]</f>
        <v>0.1422680412371134</v>
      </c>
    </row>
    <row r="1352" spans="1:8" x14ac:dyDescent="0.35">
      <c r="A1352" s="2">
        <v>44005</v>
      </c>
      <c r="B1352" t="s">
        <v>7</v>
      </c>
      <c r="C1352" t="s">
        <v>10</v>
      </c>
      <c r="D1352" t="s">
        <v>17</v>
      </c>
      <c r="E1352" s="7">
        <v>5156.4366</v>
      </c>
      <c r="F1352" s="7">
        <v>4333.1399999999994</v>
      </c>
      <c r="G1352" s="8">
        <f>Tabla1[[#This Row],[Ingresos]]-Tabla1[[#This Row],[Gastos]]</f>
        <v>823.29660000000058</v>
      </c>
      <c r="H1352" s="13">
        <f>Tabla1[[#This Row],[Beneficio]]/Tabla1[[#This Row],[Ingresos]]</f>
        <v>0.15966386554621859</v>
      </c>
    </row>
    <row r="1353" spans="1:8" x14ac:dyDescent="0.35">
      <c r="A1353" s="2">
        <v>44006</v>
      </c>
      <c r="B1353" t="s">
        <v>7</v>
      </c>
      <c r="C1353" t="s">
        <v>12</v>
      </c>
      <c r="D1353" t="s">
        <v>16</v>
      </c>
      <c r="E1353" s="7">
        <v>52047.692307692305</v>
      </c>
      <c r="F1353" s="7">
        <v>45108</v>
      </c>
      <c r="G1353" s="8">
        <f>Tabla1[[#This Row],[Ingresos]]-Tabla1[[#This Row],[Gastos]]</f>
        <v>6939.6923076923049</v>
      </c>
      <c r="H1353" s="13">
        <f>Tabla1[[#This Row],[Beneficio]]/Tabla1[[#This Row],[Ingresos]]</f>
        <v>0.13333333333333328</v>
      </c>
    </row>
    <row r="1354" spans="1:8" x14ac:dyDescent="0.35">
      <c r="A1354" s="2">
        <v>44006</v>
      </c>
      <c r="B1354" t="s">
        <v>9</v>
      </c>
      <c r="C1354" t="s">
        <v>10</v>
      </c>
      <c r="D1354" t="s">
        <v>17</v>
      </c>
      <c r="E1354" s="7">
        <v>2536.4850000000001</v>
      </c>
      <c r="F1354" s="7">
        <v>2082.5</v>
      </c>
      <c r="G1354" s="8">
        <f>Tabla1[[#This Row],[Ingresos]]-Tabla1[[#This Row],[Gastos]]</f>
        <v>453.98500000000013</v>
      </c>
      <c r="H1354" s="13">
        <f>Tabla1[[#This Row],[Beneficio]]/Tabla1[[#This Row],[Ingresos]]</f>
        <v>0.17898193760262729</v>
      </c>
    </row>
    <row r="1355" spans="1:8" x14ac:dyDescent="0.35">
      <c r="A1355" s="2">
        <v>44007</v>
      </c>
      <c r="B1355" t="s">
        <v>7</v>
      </c>
      <c r="C1355" t="s">
        <v>43</v>
      </c>
      <c r="D1355" t="s">
        <v>17</v>
      </c>
      <c r="E1355" s="7">
        <v>12845.699999999999</v>
      </c>
      <c r="F1355" s="7">
        <v>7136.5</v>
      </c>
      <c r="G1355" s="8">
        <f>Tabla1[[#This Row],[Ingresos]]-Tabla1[[#This Row],[Gastos]]</f>
        <v>5709.1999999999989</v>
      </c>
      <c r="H1355" s="13">
        <f>Tabla1[[#This Row],[Beneficio]]/Tabla1[[#This Row],[Ingresos]]</f>
        <v>0.44444444444444442</v>
      </c>
    </row>
    <row r="1356" spans="1:8" x14ac:dyDescent="0.35">
      <c r="A1356" s="2">
        <v>44007</v>
      </c>
      <c r="B1356" t="s">
        <v>7</v>
      </c>
      <c r="C1356" t="s">
        <v>13</v>
      </c>
      <c r="D1356" t="s">
        <v>17</v>
      </c>
      <c r="E1356" s="7">
        <v>204253.07</v>
      </c>
      <c r="F1356" s="7">
        <v>161415.79999999999</v>
      </c>
      <c r="G1356" s="8">
        <f>Tabla1[[#This Row],[Ingresos]]-Tabla1[[#This Row],[Gastos]]</f>
        <v>42837.270000000019</v>
      </c>
      <c r="H1356" s="13">
        <f>Tabla1[[#This Row],[Beneficio]]/Tabla1[[#This Row],[Ingresos]]</f>
        <v>0.20972644376899705</v>
      </c>
    </row>
    <row r="1357" spans="1:8" x14ac:dyDescent="0.35">
      <c r="A1357" s="2">
        <v>44008</v>
      </c>
      <c r="B1357" t="s">
        <v>6</v>
      </c>
      <c r="C1357" t="s">
        <v>12</v>
      </c>
      <c r="D1357" t="s">
        <v>17</v>
      </c>
      <c r="E1357" s="7">
        <v>15275.05</v>
      </c>
      <c r="F1357" s="7">
        <v>8039.4999999999991</v>
      </c>
      <c r="G1357" s="8">
        <f>Tabla1[[#This Row],[Ingresos]]-Tabla1[[#This Row],[Gastos]]</f>
        <v>7235.55</v>
      </c>
      <c r="H1357" s="13">
        <f>Tabla1[[#This Row],[Beneficio]]/Tabla1[[#This Row],[Ingresos]]</f>
        <v>0.47368421052631582</v>
      </c>
    </row>
    <row r="1358" spans="1:8" x14ac:dyDescent="0.35">
      <c r="A1358" s="2">
        <v>44008</v>
      </c>
      <c r="B1358" t="s">
        <v>7</v>
      </c>
      <c r="C1358" t="s">
        <v>11</v>
      </c>
      <c r="D1358" t="s">
        <v>17</v>
      </c>
      <c r="E1358" s="7">
        <v>35918.959999999999</v>
      </c>
      <c r="F1358" s="7">
        <v>20408.5</v>
      </c>
      <c r="G1358" s="8">
        <f>Tabla1[[#This Row],[Ingresos]]-Tabla1[[#This Row],[Gastos]]</f>
        <v>15510.46</v>
      </c>
      <c r="H1358" s="13">
        <f>Tabla1[[#This Row],[Beneficio]]/Tabla1[[#This Row],[Ingresos]]</f>
        <v>0.43181818181818182</v>
      </c>
    </row>
    <row r="1359" spans="1:8" x14ac:dyDescent="0.35">
      <c r="A1359" s="2">
        <v>44012</v>
      </c>
      <c r="B1359" t="s">
        <v>7</v>
      </c>
      <c r="C1359" t="s">
        <v>12</v>
      </c>
      <c r="D1359" t="s">
        <v>16</v>
      </c>
      <c r="E1359" s="7">
        <v>15492.548076923076</v>
      </c>
      <c r="F1359" s="7">
        <v>14322</v>
      </c>
      <c r="G1359" s="8">
        <f>Tabla1[[#This Row],[Ingresos]]-Tabla1[[#This Row],[Gastos]]</f>
        <v>1170.5480769230762</v>
      </c>
      <c r="H1359" s="13">
        <f>Tabla1[[#This Row],[Beneficio]]/Tabla1[[#This Row],[Ingresos]]</f>
        <v>7.5555555555555515E-2</v>
      </c>
    </row>
    <row r="1360" spans="1:8" x14ac:dyDescent="0.35">
      <c r="A1360" s="2">
        <v>44014</v>
      </c>
      <c r="B1360" t="s">
        <v>6</v>
      </c>
      <c r="C1360" t="s">
        <v>11</v>
      </c>
      <c r="D1360" t="s">
        <v>15</v>
      </c>
      <c r="E1360" s="7">
        <v>35558.635875</v>
      </c>
      <c r="F1360" s="7">
        <v>24438.924999999999</v>
      </c>
      <c r="G1360" s="8">
        <f>Tabla1[[#This Row],[Ingresos]]-Tabla1[[#This Row],[Gastos]]</f>
        <v>11119.710875000001</v>
      </c>
      <c r="H1360" s="13">
        <f>Tabla1[[#This Row],[Beneficio]]/Tabla1[[#This Row],[Ingresos]]</f>
        <v>0.3127147766323024</v>
      </c>
    </row>
    <row r="1361" spans="1:8" x14ac:dyDescent="0.35">
      <c r="A1361" s="2">
        <v>44014</v>
      </c>
      <c r="B1361" t="s">
        <v>7</v>
      </c>
      <c r="C1361" t="s">
        <v>43</v>
      </c>
      <c r="D1361" t="s">
        <v>16</v>
      </c>
      <c r="E1361" s="7">
        <v>139527.55384615384</v>
      </c>
      <c r="F1361" s="7">
        <v>120923.87999999999</v>
      </c>
      <c r="G1361" s="8">
        <f>Tabla1[[#This Row],[Ingresos]]-Tabla1[[#This Row],[Gastos]]</f>
        <v>18603.673846153848</v>
      </c>
      <c r="H1361" s="13">
        <f>Tabla1[[#This Row],[Beneficio]]/Tabla1[[#This Row],[Ingresos]]</f>
        <v>0.13333333333333336</v>
      </c>
    </row>
    <row r="1362" spans="1:8" x14ac:dyDescent="0.35">
      <c r="A1362" s="2">
        <v>44014</v>
      </c>
      <c r="B1362" t="s">
        <v>7</v>
      </c>
      <c r="C1362" t="s">
        <v>11</v>
      </c>
      <c r="D1362" t="s">
        <v>17</v>
      </c>
      <c r="E1362" s="7">
        <v>3395.9743999999996</v>
      </c>
      <c r="F1362" s="7">
        <v>1732.64</v>
      </c>
      <c r="G1362" s="8">
        <f>Tabla1[[#This Row],[Ingresos]]-Tabla1[[#This Row],[Gastos]]</f>
        <v>1663.3343999999995</v>
      </c>
      <c r="H1362" s="13">
        <f>Tabla1[[#This Row],[Beneficio]]/Tabla1[[#This Row],[Ingresos]]</f>
        <v>0.48979591836734687</v>
      </c>
    </row>
    <row r="1363" spans="1:8" x14ac:dyDescent="0.35">
      <c r="A1363" s="2">
        <v>44014</v>
      </c>
      <c r="B1363" t="s">
        <v>8</v>
      </c>
      <c r="C1363" t="s">
        <v>13</v>
      </c>
      <c r="D1363" t="s">
        <v>17</v>
      </c>
      <c r="E1363" s="7">
        <v>3310.2048</v>
      </c>
      <c r="F1363" s="7">
        <v>2542.3999999999996</v>
      </c>
      <c r="G1363" s="8">
        <f>Tabla1[[#This Row],[Ingresos]]-Tabla1[[#This Row],[Gastos]]</f>
        <v>767.80480000000034</v>
      </c>
      <c r="H1363" s="13">
        <f>Tabla1[[#This Row],[Beneficio]]/Tabla1[[#This Row],[Ingresos]]</f>
        <v>0.23195084485407078</v>
      </c>
    </row>
    <row r="1364" spans="1:8" x14ac:dyDescent="0.35">
      <c r="A1364" s="2">
        <v>44015</v>
      </c>
      <c r="B1364" t="s">
        <v>5</v>
      </c>
      <c r="C1364" t="s">
        <v>13</v>
      </c>
      <c r="D1364" t="s">
        <v>18</v>
      </c>
      <c r="E1364" s="7">
        <v>15051.876840000001</v>
      </c>
      <c r="F1364" s="7">
        <v>11402.937</v>
      </c>
      <c r="G1364" s="8">
        <f>Tabla1[[#This Row],[Ingresos]]-Tabla1[[#This Row],[Gastos]]</f>
        <v>3648.9398400000009</v>
      </c>
      <c r="H1364" s="13">
        <f>Tabla1[[#This Row],[Beneficio]]/Tabla1[[#This Row],[Ingresos]]</f>
        <v>0.24242424242424246</v>
      </c>
    </row>
    <row r="1365" spans="1:8" x14ac:dyDescent="0.35">
      <c r="A1365" s="2">
        <v>44016</v>
      </c>
      <c r="B1365" t="s">
        <v>5</v>
      </c>
      <c r="C1365" t="s">
        <v>43</v>
      </c>
      <c r="D1365" t="s">
        <v>17</v>
      </c>
      <c r="E1365" s="7">
        <v>422.58089999999999</v>
      </c>
      <c r="F1365" s="7">
        <v>339.15</v>
      </c>
      <c r="G1365" s="8">
        <f>Tabla1[[#This Row],[Ingresos]]-Tabla1[[#This Row],[Gastos]]</f>
        <v>83.430900000000008</v>
      </c>
      <c r="H1365" s="13">
        <f>Tabla1[[#This Row],[Beneficio]]/Tabla1[[#This Row],[Ingresos]]</f>
        <v>0.19743178170144465</v>
      </c>
    </row>
    <row r="1366" spans="1:8" x14ac:dyDescent="0.35">
      <c r="A1366" s="2">
        <v>44016</v>
      </c>
      <c r="B1366" t="s">
        <v>5</v>
      </c>
      <c r="C1366" t="s">
        <v>12</v>
      </c>
      <c r="D1366" t="s">
        <v>17</v>
      </c>
      <c r="E1366" s="7">
        <v>242927.05499999999</v>
      </c>
      <c r="F1366" s="7">
        <v>207425.4</v>
      </c>
      <c r="G1366" s="8">
        <f>Tabla1[[#This Row],[Ingresos]]-Tabla1[[#This Row],[Gastos]]</f>
        <v>35501.654999999999</v>
      </c>
      <c r="H1366" s="13">
        <f>Tabla1[[#This Row],[Beneficio]]/Tabla1[[#This Row],[Ingresos]]</f>
        <v>0.14614121510673234</v>
      </c>
    </row>
    <row r="1367" spans="1:8" x14ac:dyDescent="0.35">
      <c r="A1367" s="2">
        <v>44017</v>
      </c>
      <c r="B1367" t="s">
        <v>9</v>
      </c>
      <c r="C1367" t="s">
        <v>10</v>
      </c>
      <c r="D1367" t="s">
        <v>16</v>
      </c>
      <c r="E1367" s="7">
        <v>39331.081730769227</v>
      </c>
      <c r="F1367" s="7">
        <v>33054</v>
      </c>
      <c r="G1367" s="8">
        <f>Tabla1[[#This Row],[Ingresos]]-Tabla1[[#This Row],[Gastos]]</f>
        <v>6277.0817307692269</v>
      </c>
      <c r="H1367" s="13">
        <f>Tabla1[[#This Row],[Beneficio]]/Tabla1[[#This Row],[Ingresos]]</f>
        <v>0.15959595959595951</v>
      </c>
    </row>
    <row r="1368" spans="1:8" x14ac:dyDescent="0.35">
      <c r="A1368" s="2">
        <v>44017</v>
      </c>
      <c r="B1368" t="s">
        <v>8</v>
      </c>
      <c r="C1368" t="s">
        <v>13</v>
      </c>
      <c r="D1368" t="s">
        <v>16</v>
      </c>
      <c r="E1368" s="7">
        <v>392635.66730769229</v>
      </c>
      <c r="F1368" s="7">
        <v>336776.16</v>
      </c>
      <c r="G1368" s="8">
        <f>Tabla1[[#This Row],[Ingresos]]-Tabla1[[#This Row],[Gastos]]</f>
        <v>55859.507307692314</v>
      </c>
      <c r="H1368" s="13">
        <f>Tabla1[[#This Row],[Beneficio]]/Tabla1[[#This Row],[Ingresos]]</f>
        <v>0.14226804123711342</v>
      </c>
    </row>
    <row r="1369" spans="1:8" x14ac:dyDescent="0.35">
      <c r="A1369" s="2">
        <v>44017</v>
      </c>
      <c r="B1369" t="s">
        <v>5</v>
      </c>
      <c r="C1369" t="s">
        <v>43</v>
      </c>
      <c r="D1369" t="s">
        <v>19</v>
      </c>
      <c r="E1369" s="7">
        <v>178391.84999999998</v>
      </c>
      <c r="F1369" s="7">
        <v>163362.5</v>
      </c>
      <c r="G1369" s="8">
        <f>Tabla1[[#This Row],[Ingresos]]-Tabla1[[#This Row],[Gastos]]</f>
        <v>15029.349999999977</v>
      </c>
      <c r="H1369" s="13">
        <f>Tabla1[[#This Row],[Beneficio]]/Tabla1[[#This Row],[Ingresos]]</f>
        <v>8.424908424908413E-2</v>
      </c>
    </row>
    <row r="1370" spans="1:8" x14ac:dyDescent="0.35">
      <c r="A1370" s="2">
        <v>44019</v>
      </c>
      <c r="B1370" t="s">
        <v>9</v>
      </c>
      <c r="C1370" t="s">
        <v>10</v>
      </c>
      <c r="D1370" t="s">
        <v>17</v>
      </c>
      <c r="E1370" s="7">
        <v>36532.9496</v>
      </c>
      <c r="F1370" s="7">
        <v>19432.420000000002</v>
      </c>
      <c r="G1370" s="8">
        <f>Tabla1[[#This Row],[Ingresos]]-Tabla1[[#This Row],[Gastos]]</f>
        <v>17100.529599999998</v>
      </c>
      <c r="H1370" s="13">
        <f>Tabla1[[#This Row],[Beneficio]]/Tabla1[[#This Row],[Ingresos]]</f>
        <v>0.46808510638297868</v>
      </c>
    </row>
    <row r="1371" spans="1:8" x14ac:dyDescent="0.35">
      <c r="A1371" s="2">
        <v>44020</v>
      </c>
      <c r="B1371" t="s">
        <v>5</v>
      </c>
      <c r="C1371" t="s">
        <v>11</v>
      </c>
      <c r="D1371" t="s">
        <v>17</v>
      </c>
      <c r="E1371" s="7">
        <v>8256.08</v>
      </c>
      <c r="F1371" s="7">
        <v>4487</v>
      </c>
      <c r="G1371" s="8">
        <f>Tabla1[[#This Row],[Ingresos]]-Tabla1[[#This Row],[Gastos]]</f>
        <v>3769.08</v>
      </c>
      <c r="H1371" s="13">
        <f>Tabla1[[#This Row],[Beneficio]]/Tabla1[[#This Row],[Ingresos]]</f>
        <v>0.45652173913043476</v>
      </c>
    </row>
    <row r="1372" spans="1:8" x14ac:dyDescent="0.35">
      <c r="A1372" s="2">
        <v>44021</v>
      </c>
      <c r="B1372" t="s">
        <v>5</v>
      </c>
      <c r="C1372" t="s">
        <v>11</v>
      </c>
      <c r="D1372" t="s">
        <v>17</v>
      </c>
      <c r="E1372" s="7">
        <v>3066.16275</v>
      </c>
      <c r="F1372" s="7">
        <v>2517.375</v>
      </c>
      <c r="G1372" s="8">
        <f>Tabla1[[#This Row],[Ingresos]]-Tabla1[[#This Row],[Gastos]]</f>
        <v>548.78774999999996</v>
      </c>
      <c r="H1372" s="13">
        <f>Tabla1[[#This Row],[Beneficio]]/Tabla1[[#This Row],[Ingresos]]</f>
        <v>0.17898193760262723</v>
      </c>
    </row>
    <row r="1373" spans="1:8" x14ac:dyDescent="0.35">
      <c r="A1373" s="2">
        <v>44022</v>
      </c>
      <c r="B1373" t="s">
        <v>8</v>
      </c>
      <c r="C1373" t="s">
        <v>11</v>
      </c>
      <c r="D1373" t="s">
        <v>19</v>
      </c>
      <c r="E1373" s="7">
        <v>197156.4</v>
      </c>
      <c r="F1373" s="7">
        <v>167650</v>
      </c>
      <c r="G1373" s="8">
        <f>Tabla1[[#This Row],[Ingresos]]-Tabla1[[#This Row],[Gastos]]</f>
        <v>29506.399999999994</v>
      </c>
      <c r="H1373" s="13">
        <f>Tabla1[[#This Row],[Beneficio]]/Tabla1[[#This Row],[Ingresos]]</f>
        <v>0.1496598639455782</v>
      </c>
    </row>
    <row r="1374" spans="1:8" x14ac:dyDescent="0.35">
      <c r="A1374" s="2">
        <v>44023</v>
      </c>
      <c r="B1374" t="s">
        <v>7</v>
      </c>
      <c r="C1374" t="s">
        <v>12</v>
      </c>
      <c r="D1374" t="s">
        <v>19</v>
      </c>
      <c r="E1374" s="7">
        <v>198660</v>
      </c>
      <c r="F1374" s="7">
        <v>188125</v>
      </c>
      <c r="G1374" s="8">
        <f>Tabla1[[#This Row],[Ingresos]]-Tabla1[[#This Row],[Gastos]]</f>
        <v>10535</v>
      </c>
      <c r="H1374" s="13">
        <f>Tabla1[[#This Row],[Beneficio]]/Tabla1[[#This Row],[Ingresos]]</f>
        <v>5.3030303030303032E-2</v>
      </c>
    </row>
    <row r="1375" spans="1:8" x14ac:dyDescent="0.35">
      <c r="A1375" s="2">
        <v>44024</v>
      </c>
      <c r="B1375" t="s">
        <v>8</v>
      </c>
      <c r="C1375" t="s">
        <v>10</v>
      </c>
      <c r="D1375" t="s">
        <v>17</v>
      </c>
      <c r="E1375" s="7">
        <v>13739.5664</v>
      </c>
      <c r="F1375" s="7">
        <v>7988.12</v>
      </c>
      <c r="G1375" s="8">
        <f>Tabla1[[#This Row],[Ingresos]]-Tabla1[[#This Row],[Gastos]]</f>
        <v>5751.4463999999998</v>
      </c>
      <c r="H1375" s="13">
        <f>Tabla1[[#This Row],[Beneficio]]/Tabla1[[#This Row],[Ingresos]]</f>
        <v>0.41860465116279072</v>
      </c>
    </row>
    <row r="1376" spans="1:8" x14ac:dyDescent="0.35">
      <c r="A1376" s="2">
        <v>44025</v>
      </c>
      <c r="B1376" t="s">
        <v>9</v>
      </c>
      <c r="C1376" t="s">
        <v>43</v>
      </c>
      <c r="D1376" t="s">
        <v>17</v>
      </c>
      <c r="E1376" s="7">
        <v>171833.19999999998</v>
      </c>
      <c r="F1376" s="7">
        <v>145054</v>
      </c>
      <c r="G1376" s="8">
        <f>Tabla1[[#This Row],[Ingresos]]-Tabla1[[#This Row],[Gastos]]</f>
        <v>26779.199999999983</v>
      </c>
      <c r="H1376" s="13">
        <f>Tabla1[[#This Row],[Beneficio]]/Tabla1[[#This Row],[Ingresos]]</f>
        <v>0.15584415584415576</v>
      </c>
    </row>
    <row r="1377" spans="1:8" x14ac:dyDescent="0.35">
      <c r="A1377" s="2">
        <v>44025</v>
      </c>
      <c r="B1377" t="s">
        <v>7</v>
      </c>
      <c r="C1377" t="s">
        <v>13</v>
      </c>
      <c r="D1377" t="s">
        <v>17</v>
      </c>
      <c r="E1377" s="7">
        <v>296860.375</v>
      </c>
      <c r="F1377" s="7">
        <v>259440.99999999997</v>
      </c>
      <c r="G1377" s="8">
        <f>Tabla1[[#This Row],[Ingresos]]-Tabla1[[#This Row],[Gastos]]</f>
        <v>37419.375000000029</v>
      </c>
      <c r="H1377" s="13">
        <f>Tabla1[[#This Row],[Beneficio]]/Tabla1[[#This Row],[Ingresos]]</f>
        <v>0.12605042016806733</v>
      </c>
    </row>
    <row r="1378" spans="1:8" x14ac:dyDescent="0.35">
      <c r="A1378" s="2">
        <v>44026</v>
      </c>
      <c r="B1378" t="s">
        <v>5</v>
      </c>
      <c r="C1378" t="s">
        <v>11</v>
      </c>
      <c r="D1378" t="s">
        <v>17</v>
      </c>
      <c r="E1378" s="7">
        <v>5416.0924999999997</v>
      </c>
      <c r="F1378" s="7">
        <v>4072.2499999999995</v>
      </c>
      <c r="G1378" s="8">
        <f>Tabla1[[#This Row],[Ingresos]]-Tabla1[[#This Row],[Gastos]]</f>
        <v>1343.8425000000002</v>
      </c>
      <c r="H1378" s="13">
        <f>Tabla1[[#This Row],[Beneficio]]/Tabla1[[#This Row],[Ingresos]]</f>
        <v>0.24812030075187974</v>
      </c>
    </row>
    <row r="1379" spans="1:8" x14ac:dyDescent="0.35">
      <c r="A1379" s="2">
        <v>44026</v>
      </c>
      <c r="B1379" t="s">
        <v>7</v>
      </c>
      <c r="C1379" t="s">
        <v>10</v>
      </c>
      <c r="D1379" t="s">
        <v>17</v>
      </c>
      <c r="E1379" s="7">
        <v>19274.919999999998</v>
      </c>
      <c r="F1379" s="7">
        <v>10475.5</v>
      </c>
      <c r="G1379" s="8">
        <f>Tabla1[[#This Row],[Ingresos]]-Tabla1[[#This Row],[Gastos]]</f>
        <v>8799.4199999999983</v>
      </c>
      <c r="H1379" s="13">
        <f>Tabla1[[#This Row],[Beneficio]]/Tabla1[[#This Row],[Ingresos]]</f>
        <v>0.45652173913043476</v>
      </c>
    </row>
    <row r="1380" spans="1:8" x14ac:dyDescent="0.35">
      <c r="A1380" s="2">
        <v>44026</v>
      </c>
      <c r="B1380" t="s">
        <v>7</v>
      </c>
      <c r="C1380" t="s">
        <v>10</v>
      </c>
      <c r="D1380" t="s">
        <v>19</v>
      </c>
      <c r="E1380" s="7">
        <v>474784.8</v>
      </c>
      <c r="F1380" s="7">
        <v>395654</v>
      </c>
      <c r="G1380" s="8">
        <f>Tabla1[[#This Row],[Ingresos]]-Tabla1[[#This Row],[Gastos]]</f>
        <v>79130.799999999988</v>
      </c>
      <c r="H1380" s="13">
        <f>Tabla1[[#This Row],[Beneficio]]/Tabla1[[#This Row],[Ingresos]]</f>
        <v>0.16666666666666666</v>
      </c>
    </row>
    <row r="1381" spans="1:8" x14ac:dyDescent="0.35">
      <c r="A1381" s="2">
        <v>44027</v>
      </c>
      <c r="B1381" t="s">
        <v>8</v>
      </c>
      <c r="C1381" t="s">
        <v>12</v>
      </c>
      <c r="D1381" t="s">
        <v>16</v>
      </c>
      <c r="E1381" s="7">
        <v>243822.11538461538</v>
      </c>
      <c r="F1381" s="7">
        <v>156975</v>
      </c>
      <c r="G1381" s="8">
        <f>Tabla1[[#This Row],[Ingresos]]-Tabla1[[#This Row],[Gastos]]</f>
        <v>86847.115384615376</v>
      </c>
      <c r="H1381" s="13">
        <f>Tabla1[[#This Row],[Beneficio]]/Tabla1[[#This Row],[Ingresos]]</f>
        <v>0.35619047619047617</v>
      </c>
    </row>
    <row r="1382" spans="1:8" x14ac:dyDescent="0.35">
      <c r="A1382" s="2">
        <v>44030</v>
      </c>
      <c r="B1382" t="s">
        <v>8</v>
      </c>
      <c r="C1382" t="s">
        <v>10</v>
      </c>
      <c r="D1382" t="s">
        <v>17</v>
      </c>
      <c r="E1382" s="7">
        <v>342382.6</v>
      </c>
      <c r="F1382" s="7">
        <v>259531.99999999997</v>
      </c>
      <c r="G1382" s="8">
        <f>Tabla1[[#This Row],[Ingresos]]-Tabla1[[#This Row],[Gastos]]</f>
        <v>82850.600000000006</v>
      </c>
      <c r="H1382" s="13">
        <f>Tabla1[[#This Row],[Beneficio]]/Tabla1[[#This Row],[Ingresos]]</f>
        <v>0.24198250728862977</v>
      </c>
    </row>
    <row r="1383" spans="1:8" x14ac:dyDescent="0.35">
      <c r="A1383" s="2">
        <v>44030</v>
      </c>
      <c r="B1383" t="s">
        <v>9</v>
      </c>
      <c r="C1383" t="s">
        <v>43</v>
      </c>
      <c r="D1383" t="s">
        <v>17</v>
      </c>
      <c r="E1383" s="7">
        <v>492445.88399999996</v>
      </c>
      <c r="F1383" s="7">
        <v>389166.96</v>
      </c>
      <c r="G1383" s="8">
        <f>Tabla1[[#This Row],[Ingresos]]-Tabla1[[#This Row],[Gastos]]</f>
        <v>103278.92399999994</v>
      </c>
      <c r="H1383" s="13">
        <f>Tabla1[[#This Row],[Beneficio]]/Tabla1[[#This Row],[Ingresos]]</f>
        <v>0.20972644376899685</v>
      </c>
    </row>
    <row r="1384" spans="1:8" x14ac:dyDescent="0.35">
      <c r="A1384" s="2">
        <v>44030</v>
      </c>
      <c r="B1384" t="s">
        <v>8</v>
      </c>
      <c r="C1384" t="s">
        <v>43</v>
      </c>
      <c r="D1384" t="s">
        <v>17</v>
      </c>
      <c r="E1384" s="7">
        <v>12852.041439999999</v>
      </c>
      <c r="F1384" s="7">
        <v>10314.64</v>
      </c>
      <c r="G1384" s="8">
        <f>Tabla1[[#This Row],[Ingresos]]-Tabla1[[#This Row],[Gastos]]</f>
        <v>2537.4014399999996</v>
      </c>
      <c r="H1384" s="13">
        <f>Tabla1[[#This Row],[Beneficio]]/Tabla1[[#This Row],[Ingresos]]</f>
        <v>0.1974317817014446</v>
      </c>
    </row>
    <row r="1385" spans="1:8" x14ac:dyDescent="0.35">
      <c r="A1385" s="2">
        <v>44030</v>
      </c>
      <c r="B1385" t="s">
        <v>9</v>
      </c>
      <c r="C1385" t="s">
        <v>43</v>
      </c>
      <c r="D1385" t="s">
        <v>18</v>
      </c>
      <c r="E1385" s="7">
        <v>4679.3098799999998</v>
      </c>
      <c r="F1385" s="7">
        <v>4080.7934999999998</v>
      </c>
      <c r="G1385" s="8">
        <f>Tabla1[[#This Row],[Ingresos]]-Tabla1[[#This Row],[Gastos]]</f>
        <v>598.51638000000003</v>
      </c>
      <c r="H1385" s="13">
        <f>Tabla1[[#This Row],[Beneficio]]/Tabla1[[#This Row],[Ingresos]]</f>
        <v>0.12790697674418605</v>
      </c>
    </row>
    <row r="1386" spans="1:8" x14ac:dyDescent="0.35">
      <c r="A1386" s="2">
        <v>44032</v>
      </c>
      <c r="B1386" t="s">
        <v>8</v>
      </c>
      <c r="C1386" t="s">
        <v>11</v>
      </c>
      <c r="D1386" t="s">
        <v>15</v>
      </c>
      <c r="E1386" s="7">
        <v>11298</v>
      </c>
      <c r="F1386" s="7">
        <v>7531.9999999999991</v>
      </c>
      <c r="G1386" s="8">
        <f>Tabla1[[#This Row],[Ingresos]]-Tabla1[[#This Row],[Gastos]]</f>
        <v>3766.0000000000009</v>
      </c>
      <c r="H1386" s="13">
        <f>Tabla1[[#This Row],[Beneficio]]/Tabla1[[#This Row],[Ingresos]]</f>
        <v>0.33333333333333343</v>
      </c>
    </row>
    <row r="1387" spans="1:8" x14ac:dyDescent="0.35">
      <c r="A1387" s="2">
        <v>44033</v>
      </c>
      <c r="B1387" t="s">
        <v>7</v>
      </c>
      <c r="C1387" t="s">
        <v>10</v>
      </c>
      <c r="D1387" t="s">
        <v>17</v>
      </c>
      <c r="E1387" s="7">
        <v>95510.799999999988</v>
      </c>
      <c r="F1387" s="7">
        <v>80626</v>
      </c>
      <c r="G1387" s="8">
        <f>Tabla1[[#This Row],[Ingresos]]-Tabla1[[#This Row],[Gastos]]</f>
        <v>14884.799999999988</v>
      </c>
      <c r="H1387" s="13">
        <f>Tabla1[[#This Row],[Beneficio]]/Tabla1[[#This Row],[Ingresos]]</f>
        <v>0.15584415584415573</v>
      </c>
    </row>
    <row r="1388" spans="1:8" x14ac:dyDescent="0.35">
      <c r="A1388" s="2">
        <v>44033</v>
      </c>
      <c r="B1388" t="s">
        <v>9</v>
      </c>
      <c r="C1388" t="s">
        <v>43</v>
      </c>
      <c r="D1388" t="s">
        <v>17</v>
      </c>
      <c r="E1388" s="7">
        <v>28190.358</v>
      </c>
      <c r="F1388" s="7">
        <v>15661.309999999998</v>
      </c>
      <c r="G1388" s="8">
        <f>Tabla1[[#This Row],[Ingresos]]-Tabla1[[#This Row],[Gastos]]</f>
        <v>12529.048000000003</v>
      </c>
      <c r="H1388" s="13">
        <f>Tabla1[[#This Row],[Beneficio]]/Tabla1[[#This Row],[Ingresos]]</f>
        <v>0.44444444444444453</v>
      </c>
    </row>
    <row r="1389" spans="1:8" x14ac:dyDescent="0.35">
      <c r="A1389" s="2">
        <v>44035</v>
      </c>
      <c r="B1389" t="s">
        <v>7</v>
      </c>
      <c r="C1389" t="s">
        <v>43</v>
      </c>
      <c r="D1389" t="s">
        <v>18</v>
      </c>
      <c r="E1389" s="7">
        <v>9280.4275200000011</v>
      </c>
      <c r="F1389" s="7">
        <v>7102.3679999999995</v>
      </c>
      <c r="G1389" s="8">
        <f>Tabla1[[#This Row],[Ingresos]]-Tabla1[[#This Row],[Gastos]]</f>
        <v>2178.0595200000016</v>
      </c>
      <c r="H1389" s="13">
        <f>Tabla1[[#This Row],[Beneficio]]/Tabla1[[#This Row],[Ingresos]]</f>
        <v>0.23469387755102056</v>
      </c>
    </row>
    <row r="1390" spans="1:8" x14ac:dyDescent="0.35">
      <c r="A1390" s="2">
        <v>44035</v>
      </c>
      <c r="B1390" t="s">
        <v>7</v>
      </c>
      <c r="C1390" t="s">
        <v>13</v>
      </c>
      <c r="D1390" t="s">
        <v>18</v>
      </c>
      <c r="E1390" s="7">
        <v>18783.449999999997</v>
      </c>
      <c r="F1390" s="7">
        <v>15828.749999999998</v>
      </c>
      <c r="G1390" s="8">
        <f>Tabla1[[#This Row],[Ingresos]]-Tabla1[[#This Row],[Gastos]]</f>
        <v>2954.6999999999989</v>
      </c>
      <c r="H1390" s="13">
        <f>Tabla1[[#This Row],[Beneficio]]/Tabla1[[#This Row],[Ingresos]]</f>
        <v>0.15730337078651682</v>
      </c>
    </row>
    <row r="1391" spans="1:8" x14ac:dyDescent="0.35">
      <c r="A1391" s="2">
        <v>44036</v>
      </c>
      <c r="B1391" t="s">
        <v>6</v>
      </c>
      <c r="C1391" t="s">
        <v>11</v>
      </c>
      <c r="D1391" t="s">
        <v>17</v>
      </c>
      <c r="E1391" s="7">
        <v>3827.8799999999997</v>
      </c>
      <c r="F1391" s="7">
        <v>2058</v>
      </c>
      <c r="G1391" s="8">
        <f>Tabla1[[#This Row],[Ingresos]]-Tabla1[[#This Row],[Gastos]]</f>
        <v>1769.8799999999997</v>
      </c>
      <c r="H1391" s="13">
        <f>Tabla1[[#This Row],[Beneficio]]/Tabla1[[#This Row],[Ingresos]]</f>
        <v>0.46236559139784944</v>
      </c>
    </row>
    <row r="1392" spans="1:8" x14ac:dyDescent="0.35">
      <c r="A1392" s="2">
        <v>44037</v>
      </c>
      <c r="B1392" t="s">
        <v>5</v>
      </c>
      <c r="C1392" t="s">
        <v>13</v>
      </c>
      <c r="D1392" t="s">
        <v>17</v>
      </c>
      <c r="E1392" s="7">
        <v>4833.2129999999997</v>
      </c>
      <c r="F1392" s="7">
        <v>3522.75</v>
      </c>
      <c r="G1392" s="8">
        <f>Tabla1[[#This Row],[Ingresos]]-Tabla1[[#This Row],[Gastos]]</f>
        <v>1310.4629999999997</v>
      </c>
      <c r="H1392" s="13">
        <f>Tabla1[[#This Row],[Beneficio]]/Tabla1[[#This Row],[Ingresos]]</f>
        <v>0.27113702623906699</v>
      </c>
    </row>
    <row r="1393" spans="1:8" x14ac:dyDescent="0.35">
      <c r="A1393" s="2">
        <v>44037</v>
      </c>
      <c r="B1393" t="s">
        <v>6</v>
      </c>
      <c r="C1393" t="s">
        <v>10</v>
      </c>
      <c r="D1393" t="s">
        <v>18</v>
      </c>
      <c r="E1393" s="7">
        <v>9076.1999999999989</v>
      </c>
      <c r="F1393" s="7">
        <v>6807.15</v>
      </c>
      <c r="G1393" s="8">
        <f>Tabla1[[#This Row],[Ingresos]]-Tabla1[[#This Row],[Gastos]]</f>
        <v>2269.0499999999993</v>
      </c>
      <c r="H1393" s="13">
        <f>Tabla1[[#This Row],[Beneficio]]/Tabla1[[#This Row],[Ingresos]]</f>
        <v>0.24999999999999994</v>
      </c>
    </row>
    <row r="1394" spans="1:8" x14ac:dyDescent="0.35">
      <c r="A1394" s="2">
        <v>44038</v>
      </c>
      <c r="B1394" t="s">
        <v>8</v>
      </c>
      <c r="C1394" t="s">
        <v>43</v>
      </c>
      <c r="D1394" t="s">
        <v>16</v>
      </c>
      <c r="E1394" s="7">
        <v>174824.27307692307</v>
      </c>
      <c r="F1394" s="7">
        <v>154738.07999999999</v>
      </c>
      <c r="G1394" s="8">
        <f>Tabla1[[#This Row],[Ingresos]]-Tabla1[[#This Row],[Gastos]]</f>
        <v>20086.193076923082</v>
      </c>
      <c r="H1394" s="13">
        <f>Tabla1[[#This Row],[Beneficio]]/Tabla1[[#This Row],[Ingresos]]</f>
        <v>0.11489361702127664</v>
      </c>
    </row>
    <row r="1395" spans="1:8" x14ac:dyDescent="0.35">
      <c r="A1395" s="2">
        <v>44038</v>
      </c>
      <c r="B1395" t="s">
        <v>8</v>
      </c>
      <c r="C1395" t="s">
        <v>43</v>
      </c>
      <c r="D1395" t="s">
        <v>19</v>
      </c>
      <c r="E1395" s="7">
        <v>104531.7</v>
      </c>
      <c r="F1395" s="7">
        <v>95725</v>
      </c>
      <c r="G1395" s="8">
        <f>Tabla1[[#This Row],[Ingresos]]-Tabla1[[#This Row],[Gastos]]</f>
        <v>8806.6999999999971</v>
      </c>
      <c r="H1395" s="13">
        <f>Tabla1[[#This Row],[Beneficio]]/Tabla1[[#This Row],[Ingresos]]</f>
        <v>8.4249084249084227E-2</v>
      </c>
    </row>
    <row r="1396" spans="1:8" x14ac:dyDescent="0.35">
      <c r="A1396" s="2">
        <v>44039</v>
      </c>
      <c r="B1396" t="s">
        <v>5</v>
      </c>
      <c r="C1396" t="s">
        <v>43</v>
      </c>
      <c r="D1396" t="s">
        <v>15</v>
      </c>
      <c r="E1396" s="7">
        <v>48988.264499999997</v>
      </c>
      <c r="F1396" s="7">
        <v>34743.449999999997</v>
      </c>
      <c r="G1396" s="8">
        <f>Tabla1[[#This Row],[Ingresos]]-Tabla1[[#This Row],[Gastos]]</f>
        <v>14244.8145</v>
      </c>
      <c r="H1396" s="13">
        <f>Tabla1[[#This Row],[Beneficio]]/Tabla1[[#This Row],[Ingresos]]</f>
        <v>0.29078014184397166</v>
      </c>
    </row>
    <row r="1397" spans="1:8" x14ac:dyDescent="0.35">
      <c r="A1397" s="2">
        <v>44040</v>
      </c>
      <c r="B1397" t="s">
        <v>5</v>
      </c>
      <c r="C1397" t="s">
        <v>43</v>
      </c>
      <c r="D1397" t="s">
        <v>16</v>
      </c>
      <c r="E1397" s="7">
        <v>128487.18749999999</v>
      </c>
      <c r="F1397" s="7">
        <v>117473.99999999999</v>
      </c>
      <c r="G1397" s="8">
        <f>Tabla1[[#This Row],[Ingresos]]-Tabla1[[#This Row],[Gastos]]</f>
        <v>11013.1875</v>
      </c>
      <c r="H1397" s="13">
        <f>Tabla1[[#This Row],[Beneficio]]/Tabla1[[#This Row],[Ingresos]]</f>
        <v>8.5714285714285729E-2</v>
      </c>
    </row>
    <row r="1398" spans="1:8" x14ac:dyDescent="0.35">
      <c r="A1398" s="2">
        <v>44040</v>
      </c>
      <c r="B1398" t="s">
        <v>5</v>
      </c>
      <c r="C1398" t="s">
        <v>10</v>
      </c>
      <c r="D1398" t="s">
        <v>17</v>
      </c>
      <c r="E1398" s="7">
        <v>605.68899999999996</v>
      </c>
      <c r="F1398" s="7">
        <v>460.24999999999994</v>
      </c>
      <c r="G1398" s="8">
        <f>Tabla1[[#This Row],[Ingresos]]-Tabla1[[#This Row],[Gastos]]</f>
        <v>145.43900000000002</v>
      </c>
      <c r="H1398" s="13">
        <f>Tabla1[[#This Row],[Beneficio]]/Tabla1[[#This Row],[Ingresos]]</f>
        <v>0.24012158054711252</v>
      </c>
    </row>
    <row r="1399" spans="1:8" x14ac:dyDescent="0.35">
      <c r="A1399" s="2">
        <v>44042</v>
      </c>
      <c r="B1399" t="s">
        <v>9</v>
      </c>
      <c r="C1399" t="s">
        <v>10</v>
      </c>
      <c r="D1399" t="s">
        <v>15</v>
      </c>
      <c r="E1399" s="7">
        <v>11434.5</v>
      </c>
      <c r="F1399" s="7">
        <v>7622.9999999999991</v>
      </c>
      <c r="G1399" s="8">
        <f>Tabla1[[#This Row],[Ingresos]]-Tabla1[[#This Row],[Gastos]]</f>
        <v>3811.5000000000009</v>
      </c>
      <c r="H1399" s="13">
        <f>Tabla1[[#This Row],[Beneficio]]/Tabla1[[#This Row],[Ingresos]]</f>
        <v>0.33333333333333343</v>
      </c>
    </row>
    <row r="1400" spans="1:8" x14ac:dyDescent="0.35">
      <c r="A1400" s="2">
        <v>44042</v>
      </c>
      <c r="B1400" t="s">
        <v>8</v>
      </c>
      <c r="C1400" t="s">
        <v>11</v>
      </c>
      <c r="D1400" t="s">
        <v>16</v>
      </c>
      <c r="E1400" s="7">
        <v>136264.3355769231</v>
      </c>
      <c r="F1400" s="7">
        <v>130312.56</v>
      </c>
      <c r="G1400" s="8">
        <f>Tabla1[[#This Row],[Ingresos]]-Tabla1[[#This Row],[Gastos]]</f>
        <v>5951.7755769231007</v>
      </c>
      <c r="H1400" s="13">
        <f>Tabla1[[#This Row],[Beneficio]]/Tabla1[[#This Row],[Ingresos]]</f>
        <v>4.3678160919540396E-2</v>
      </c>
    </row>
    <row r="1401" spans="1:8" x14ac:dyDescent="0.35">
      <c r="A1401" s="2">
        <v>44043</v>
      </c>
      <c r="B1401" t="s">
        <v>6</v>
      </c>
      <c r="C1401" t="s">
        <v>43</v>
      </c>
      <c r="D1401" t="s">
        <v>16</v>
      </c>
      <c r="E1401" s="7">
        <v>142194.23076923075</v>
      </c>
      <c r="F1401" s="7">
        <v>91546</v>
      </c>
      <c r="G1401" s="8">
        <f>Tabla1[[#This Row],[Ingresos]]-Tabla1[[#This Row],[Gastos]]</f>
        <v>50648.230769230751</v>
      </c>
      <c r="H1401" s="13">
        <f>Tabla1[[#This Row],[Beneficio]]/Tabla1[[#This Row],[Ingresos]]</f>
        <v>0.35619047619047611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Hoja2</vt:lpstr>
      <vt:lpstr>Hoja4</vt:lpstr>
      <vt:lpstr>Hoja5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miguel bolivar</cp:lastModifiedBy>
  <dcterms:created xsi:type="dcterms:W3CDTF">2014-01-28T02:45:41Z</dcterms:created>
  <dcterms:modified xsi:type="dcterms:W3CDTF">2026-05-20T11:11:03Z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